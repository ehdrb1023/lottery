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번호별통계" sheetId="2" state="visible" r:id="rId4"/>
    <sheet name="번호조회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<sst xmlns="http://schemas.openxmlformats.org/spreadsheetml/2006/main" count="33" uniqueCount="29">
  <si>
    <t xml:space="preserve">날짜</t>
  </si>
  <si>
    <t xml:space="preserve">회차</t>
  </si>
  <si>
    <t xml:space="preserve">번호</t>
  </si>
  <si>
    <t xml:space="preserve">추가번호</t>
  </si>
  <si>
    <t xml:space="preserve">일치개수(조회용,자동)</t>
  </si>
  <si>
    <t xml:space="preserve">번호별 출현 횟수 및 순위</t>
  </si>
  <si>
    <r>
      <rPr>
        <i val="true"/>
        <sz val="9"/>
        <color rgb="FF808080"/>
        <rFont val="맑은 고딕"/>
        <family val="3"/>
        <charset val="129"/>
      </rPr>
      <t xml:space="preserve">▶ Sheet1</t>
    </r>
    <r>
      <rPr>
        <i val="true"/>
        <sz val="9"/>
        <color rgb="FF808080"/>
        <rFont val="Noto Sans CJK SC"/>
        <family val="2"/>
      </rPr>
      <t xml:space="preserve">의 전체 당첨번호</t>
    </r>
    <r>
      <rPr>
        <i val="true"/>
        <sz val="9"/>
        <color rgb="FF808080"/>
        <rFont val="맑은 고딕"/>
        <family val="3"/>
        <charset val="129"/>
      </rPr>
      <t xml:space="preserve">(</t>
    </r>
    <r>
      <rPr>
        <i val="true"/>
        <sz val="9"/>
        <color rgb="FF808080"/>
        <rFont val="Noto Sans CJK SC"/>
        <family val="2"/>
      </rPr>
      <t xml:space="preserve">회차 </t>
    </r>
    <r>
      <rPr>
        <i val="true"/>
        <sz val="9"/>
        <color rgb="FF808080"/>
        <rFont val="맑은 고딕"/>
        <family val="3"/>
        <charset val="129"/>
      </rPr>
      <t xml:space="preserve">1~1240)</t>
    </r>
    <r>
      <rPr>
        <i val="true"/>
        <sz val="9"/>
        <color rgb="FF808080"/>
        <rFont val="Noto Sans CJK SC"/>
        <family val="2"/>
      </rPr>
      <t xml:space="preserve">를 기준으로 자동 계산됩니다</t>
    </r>
    <r>
      <rPr>
        <i val="true"/>
        <sz val="9"/>
        <color rgb="FF808080"/>
        <rFont val="맑은 고딕"/>
        <family val="3"/>
        <charset val="129"/>
      </rPr>
      <t xml:space="preserve">. </t>
    </r>
    <r>
      <rPr>
        <i val="true"/>
        <sz val="9"/>
        <color rgb="FF808080"/>
        <rFont val="Noto Sans CJK SC"/>
        <family val="2"/>
      </rPr>
      <t xml:space="preserve">입력할 필요 없습니다</t>
    </r>
    <r>
      <rPr>
        <i val="true"/>
        <sz val="9"/>
        <color rgb="FF808080"/>
        <rFont val="맑은 고딕"/>
        <family val="3"/>
        <charset val="129"/>
      </rPr>
      <t xml:space="preserve">.</t>
    </r>
  </si>
  <si>
    <r>
      <rPr>
        <i val="true"/>
        <sz val="9"/>
        <color rgb="FF808080"/>
        <rFont val="맑은 고딕"/>
        <family val="3"/>
        <charset val="129"/>
      </rPr>
      <t xml:space="preserve">▶ TOP10 / BOTTOM10</t>
    </r>
    <r>
      <rPr>
        <i val="true"/>
        <sz val="9"/>
        <color rgb="FF808080"/>
        <rFont val="Noto Sans CJK SC"/>
        <family val="2"/>
      </rPr>
      <t xml:space="preserve">은 출현횟수를 기준으로 자동 정렬됩니다 </t>
    </r>
    <r>
      <rPr>
        <i val="true"/>
        <sz val="9"/>
        <color rgb="FF808080"/>
        <rFont val="맑은 고딕"/>
        <family val="3"/>
        <charset val="129"/>
      </rPr>
      <t xml:space="preserve">(</t>
    </r>
    <r>
      <rPr>
        <i val="true"/>
        <sz val="9"/>
        <color rgb="FF808080"/>
        <rFont val="Noto Sans CJK SC"/>
        <family val="2"/>
      </rPr>
      <t xml:space="preserve">동률 시 번호가 작은 쪽이 우선</t>
    </r>
    <r>
      <rPr>
        <i val="true"/>
        <sz val="9"/>
        <color rgb="FF808080"/>
        <rFont val="맑은 고딕"/>
        <family val="3"/>
        <charset val="129"/>
      </rPr>
      <t xml:space="preserve">). N,O</t>
    </r>
    <r>
      <rPr>
        <i val="true"/>
        <sz val="9"/>
        <color rgb="FF808080"/>
        <rFont val="Noto Sans CJK SC"/>
        <family val="2"/>
      </rPr>
      <t xml:space="preserve">열은 동률 처리를 위한 내부 계산용이며 편집하지 마세요</t>
    </r>
    <r>
      <rPr>
        <i val="true"/>
        <sz val="9"/>
        <color rgb="FF808080"/>
        <rFont val="맑은 고딕"/>
        <family val="3"/>
        <charset val="129"/>
      </rPr>
      <t xml:space="preserve">.</t>
    </r>
  </si>
  <si>
    <t xml:space="preserve">출현횟수</t>
  </si>
  <si>
    <t xml:space="preserve">순위(많이 나온 순)</t>
  </si>
  <si>
    <t xml:space="preserve">순위(적게 나온 순)</t>
  </si>
  <si>
    <t xml:space="preserve">순위</t>
  </si>
  <si>
    <t xml:space="preserve">번호(많이 나온 순)</t>
  </si>
  <si>
    <t xml:space="preserve">번호(적게 나온 순)</t>
  </si>
  <si>
    <t xml:space="preserve">정렬키(많이순,내부용)</t>
  </si>
  <si>
    <t xml:space="preserve">정렬키(적게순,내부용)</t>
  </si>
  <si>
    <t xml:space="preserve">내가 고른 번호, 예전에 나온 적 있을까?</t>
  </si>
  <si>
    <t xml:space="preserve">▶ 노란색 칸(B4:B9)에 확인하고 싶은 번호 6개를 입력하세요 (순서 상관없음).</t>
  </si>
  <si>
    <t xml:space="preserve">번호1</t>
  </si>
  <si>
    <t xml:space="preserve">결과</t>
  </si>
  <si>
    <t xml:space="preserve">번호2</t>
  </si>
  <si>
    <t xml:space="preserve">일치 횟수</t>
  </si>
  <si>
    <t xml:space="preserve">번호3</t>
  </si>
  <si>
    <t xml:space="preserve">일치 회차(첫번째)</t>
  </si>
  <si>
    <t xml:space="preserve">번호4</t>
  </si>
  <si>
    <t xml:space="preserve">일치 날짜(첫번째)</t>
  </si>
  <si>
    <t xml:space="preserve">번호5</t>
  </si>
  <si>
    <t xml:space="preserve">번호6</t>
  </si>
  <si>
    <t xml:space="preserve">※ 일치 회차가 여러 번이면 위 표시는 첫 번째 회차만 보여줍니다. 정확한 목록은 Sheet1의 N열이 6인 행을 확인하세요.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</si>
</sst>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25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맑은 고딕"/>
      <family val="2"/>
      <charset val="129"/>
    </font>
    <font>
      <sz val="11"/>
      <color rgb="FFFFC000"/>
      <name val="맑은 고딕"/>
      <family val="2"/>
      <charset val="129"/>
    </font>
    <font>
      <sz val="11"/>
      <color rgb="FF92D050"/>
      <name val="맑은 고딕"/>
      <family val="2"/>
      <charset val="129"/>
    </font>
    <font>
      <sz val="11"/>
      <color rgb="FF00B0F0"/>
      <name val="맑은 고딕"/>
      <family val="2"/>
      <charset val="129"/>
    </font>
    <font>
      <sz val="11"/>
      <color rgb="FF0070C0"/>
      <name val="맑은 고딕"/>
      <family val="2"/>
      <charset val="129"/>
    </font>
    <font>
      <sz val="11"/>
      <color rgb="FF7030A0"/>
      <name val="맑은 고딕"/>
      <family val="2"/>
      <charset val="129"/>
    </font>
    <font>
      <sz val="11"/>
      <color theme="1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C000"/>
      <name val="맑은 고딕"/>
      <family val="3"/>
      <charset val="129"/>
    </font>
    <font>
      <sz val="11"/>
      <color rgb="FF92D050"/>
      <name val="맑은 고딕"/>
      <family val="3"/>
      <charset val="129"/>
    </font>
    <font>
      <sz val="11"/>
      <color rgb="FF00B0F0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11"/>
      <color rgb="FF7030A0"/>
      <name val="맑은 고딕"/>
      <family val="3"/>
      <charset val="129"/>
    </font>
    <font>
      <b val="true"/>
      <sz val="14"/>
      <name val="Noto Sans CJK SC"/>
      <family val="2"/>
      <charset val="1"/>
    </font>
    <font>
      <i val="true"/>
      <sz val="9"/>
      <color rgb="FF808080"/>
      <name val="맑은 고딕"/>
      <family val="3"/>
      <charset val="129"/>
    </font>
    <font>
      <i val="true"/>
      <sz val="9"/>
      <color rgb="FF808080"/>
      <name val="Noto Sans CJK SC"/>
      <family val="2"/>
    </font>
    <font>
      <b val="true"/>
      <sz val="10"/>
      <color rgb="FFFFFFFF"/>
      <name val="Noto Sans CJK SC"/>
      <family val="2"/>
      <charset val="1"/>
    </font>
    <font>
      <i val="true"/>
      <sz val="9"/>
      <color rgb="FF808080"/>
      <name val="Noto Sans CJK SC"/>
      <family val="2"/>
      <charset val="1"/>
    </font>
    <font>
      <sz val="10"/>
      <color rgb="FF0000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N1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6640625" defaultRowHeight="16.5" zeroHeight="false" outlineLevelRow="0" outlineLevelCol="0"/>
  <cols>
    <col collapsed="false" customWidth="true" hidden="false" outlineLevel="0" max="5" min="5" style="1" width="20.32"/>
    <col collapsed="false" customWidth="true" hidden="false" outlineLevel="0" max="6" min="6" style="2" width="5"/>
    <col collapsed="false" customWidth="true" hidden="false" outlineLevel="0" max="7" min="7" style="3" width="9"/>
    <col collapsed="false" customWidth="true" hidden="false" outlineLevel="0" max="8" min="8" style="4" width="9"/>
    <col collapsed="false" customWidth="true" hidden="false" outlineLevel="0" max="9" min="9" style="5" width="9"/>
    <col collapsed="false" customWidth="true" hidden="false" outlineLevel="0" max="10" min="10" style="6" width="9"/>
    <col collapsed="false" customWidth="true" hidden="false" outlineLevel="0" max="11" min="11" style="7" width="9"/>
    <col collapsed="false" customWidth="true" hidden="false" outlineLevel="0" max="12" min="12" style="8" width="9"/>
    <col collapsed="false" customWidth="true" hidden="false" outlineLevel="0" max="14" min="14" style="2" width="22.25"/>
  </cols>
  <sheetData>
    <row r="1" customFormat="false" ht="16.5" hidden="false" customHeight="true" outlineLevel="0" collapsed="false">
      <c r="G1" s="9"/>
      <c r="L1" s="10"/>
    </row>
    <row r="2" customFormat="false" ht="16.5" hidden="false" customHeight="true" outlineLevel="0" collapsed="false">
      <c r="G2" s="9"/>
      <c r="L2" s="10"/>
    </row>
    <row r="3" customFormat="false" ht="17.25" hidden="false" customHeight="true" outlineLevel="0" collapsed="false">
      <c r="G3" s="9"/>
      <c r="L3" s="10"/>
    </row>
    <row r="4" customFormat="false" ht="17.25" hidden="false" customHeight="true" outlineLevel="0" collapsed="false">
      <c r="E4" s="11" t="s">
        <v>0</v>
      </c>
      <c r="F4" s="12" t="s">
        <v>1</v>
      </c>
      <c r="G4" s="13" t="s">
        <v>2</v>
      </c>
      <c r="H4" s="13"/>
      <c r="I4" s="13"/>
      <c r="J4" s="13"/>
      <c r="K4" s="13"/>
      <c r="L4" s="13"/>
      <c r="M4" s="12" t="s">
        <v>3</v>
      </c>
      <c r="N4" s="14" t="s">
        <v>4</v>
      </c>
    </row>
    <row r="5" customFormat="false" ht="17.25" hidden="false" customHeight="true" outlineLevel="0" collapsed="false">
      <c r="E5" s="1" t="n">
        <v>46270</v>
      </c>
      <c r="F5" s="12" t="n">
        <v>1240</v>
      </c>
      <c r="G5" s="3" t="n">
        <v>11</v>
      </c>
      <c r="H5" s="4" t="n">
        <v>13</v>
      </c>
      <c r="I5" s="5" t="n">
        <v>19</v>
      </c>
      <c r="J5" s="6" t="n">
        <v>20</v>
      </c>
      <c r="K5" s="7" t="n">
        <v>31</v>
      </c>
      <c r="L5" s="8" t="n">
        <v>44</v>
      </c>
      <c r="M5" s="12" t="n">
        <v>27</v>
      </c>
      <c r="N5" s="15" t="n">
        <f aca="false">SUMPRODUCT(COUNTIF(G5:L5,번호조회!$B$4:$B$9))</f>
        <v>0</v>
      </c>
    </row>
    <row r="6" customFormat="false" ht="17.25" hidden="false" customHeight="true" outlineLevel="0" collapsed="false">
      <c r="E6" s="1" t="n">
        <v>46263</v>
      </c>
      <c r="F6" s="12" t="n">
        <v>1239</v>
      </c>
      <c r="G6" s="3" t="n">
        <v>11</v>
      </c>
      <c r="H6" s="4" t="n">
        <v>13</v>
      </c>
      <c r="I6" s="5" t="n">
        <v>22</v>
      </c>
      <c r="J6" s="6" t="n">
        <v>32</v>
      </c>
      <c r="K6" s="7" t="n">
        <v>33</v>
      </c>
      <c r="L6" s="8" t="n">
        <v>36</v>
      </c>
      <c r="M6" s="12" t="n">
        <v>8</v>
      </c>
      <c r="N6" s="15" t="n">
        <f aca="false">SUMPRODUCT(COUNTIF(G6:L6,번호조회!$B$4:$B$9))</f>
        <v>0</v>
      </c>
    </row>
    <row r="7" customFormat="false" ht="16.5" hidden="false" customHeight="true" outlineLevel="0" collapsed="false">
      <c r="E7" s="1" t="n">
        <v>46256</v>
      </c>
      <c r="F7" s="12" t="n">
        <v>1238</v>
      </c>
      <c r="G7" s="3" t="n">
        <v>2</v>
      </c>
      <c r="H7" s="4" t="n">
        <v>13</v>
      </c>
      <c r="I7" s="5" t="n">
        <v>18</v>
      </c>
      <c r="J7" s="6" t="n">
        <v>32</v>
      </c>
      <c r="K7" s="7" t="n">
        <v>38</v>
      </c>
      <c r="L7" s="8" t="n">
        <v>42</v>
      </c>
      <c r="M7" s="12" t="n">
        <v>22</v>
      </c>
      <c r="N7" s="15" t="n">
        <f aca="false">SUMPRODUCT(COUNTIF(G7:L7,번호조회!$B$4:$B$9))</f>
        <v>0</v>
      </c>
    </row>
    <row r="8" customFormat="false" ht="16.5" hidden="false" customHeight="true" outlineLevel="0" collapsed="false">
      <c r="E8" s="1" t="n">
        <v>46249</v>
      </c>
      <c r="F8" s="12" t="n">
        <v>1237</v>
      </c>
      <c r="G8" s="3" t="n">
        <v>10</v>
      </c>
      <c r="H8" s="4" t="n">
        <v>20</v>
      </c>
      <c r="I8" s="5" t="n">
        <v>23</v>
      </c>
      <c r="J8" s="6" t="n">
        <v>34</v>
      </c>
      <c r="K8" s="7" t="n">
        <v>37</v>
      </c>
      <c r="L8" s="8" t="n">
        <v>40</v>
      </c>
      <c r="M8" s="12" t="n">
        <v>36</v>
      </c>
      <c r="N8" s="15" t="n">
        <f aca="false">SUMPRODUCT(COUNTIF(G8:L8,번호조회!$B$4:$B$9))</f>
        <v>0</v>
      </c>
    </row>
    <row r="9" customFormat="false" ht="16.5" hidden="false" customHeight="true" outlineLevel="0" collapsed="false">
      <c r="E9" s="1" t="n">
        <v>46242</v>
      </c>
      <c r="F9" s="12" t="n">
        <v>1236</v>
      </c>
      <c r="G9" s="3" t="n">
        <v>12</v>
      </c>
      <c r="H9" s="4" t="n">
        <v>18</v>
      </c>
      <c r="I9" s="5" t="n">
        <v>21</v>
      </c>
      <c r="J9" s="6" t="n">
        <v>29</v>
      </c>
      <c r="K9" s="7" t="n">
        <v>34</v>
      </c>
      <c r="L9" s="8" t="n">
        <v>38</v>
      </c>
      <c r="M9" s="12" t="n">
        <v>10</v>
      </c>
      <c r="N9" s="15" t="n">
        <f aca="false">SUMPRODUCT(COUNTIF(G9:L9,번호조회!$B$4:$B$9))</f>
        <v>0</v>
      </c>
    </row>
    <row r="10" customFormat="false" ht="16.5" hidden="false" customHeight="true" outlineLevel="0" collapsed="false">
      <c r="E10" s="1" t="n">
        <v>46235</v>
      </c>
      <c r="F10" s="12" t="n">
        <v>1235</v>
      </c>
      <c r="G10" s="3" t="n">
        <v>6</v>
      </c>
      <c r="H10" s="4" t="n">
        <v>7</v>
      </c>
      <c r="I10" s="5" t="n">
        <v>11</v>
      </c>
      <c r="J10" s="6" t="n">
        <v>15</v>
      </c>
      <c r="K10" s="7" t="n">
        <v>39</v>
      </c>
      <c r="L10" s="8" t="n">
        <v>43</v>
      </c>
      <c r="M10" s="12" t="n">
        <v>20</v>
      </c>
      <c r="N10" s="15" t="n">
        <f aca="false">SUMPRODUCT(COUNTIF(G10:L10,번호조회!$B$4:$B$9))</f>
        <v>0</v>
      </c>
    </row>
    <row r="11" customFormat="false" ht="16.5" hidden="false" customHeight="true" outlineLevel="0" collapsed="false">
      <c r="E11" s="1" t="n">
        <v>46228</v>
      </c>
      <c r="F11" s="12" t="n">
        <v>1234</v>
      </c>
      <c r="G11" s="3" t="n">
        <v>1</v>
      </c>
      <c r="H11" s="4" t="n">
        <v>15</v>
      </c>
      <c r="I11" s="5" t="n">
        <v>19</v>
      </c>
      <c r="J11" s="6" t="n">
        <v>31</v>
      </c>
      <c r="K11" s="7" t="n">
        <v>35</v>
      </c>
      <c r="L11" s="8" t="n">
        <v>43</v>
      </c>
      <c r="M11" s="12" t="n">
        <v>27</v>
      </c>
      <c r="N11" s="15" t="n">
        <f aca="false">SUMPRODUCT(COUNTIF(G11:L11,번호조회!$B$4:$B$9))</f>
        <v>0</v>
      </c>
    </row>
    <row r="12" customFormat="false" ht="16.5" hidden="false" customHeight="true" outlineLevel="0" collapsed="false">
      <c r="E12" s="1" t="n">
        <v>46221</v>
      </c>
      <c r="F12" s="12" t="n">
        <v>1233</v>
      </c>
      <c r="G12" s="3" t="n">
        <v>2</v>
      </c>
      <c r="H12" s="4" t="n">
        <v>7</v>
      </c>
      <c r="I12" s="5" t="n">
        <v>20</v>
      </c>
      <c r="J12" s="6" t="n">
        <v>25</v>
      </c>
      <c r="K12" s="7" t="n">
        <v>37</v>
      </c>
      <c r="L12" s="8" t="n">
        <v>40</v>
      </c>
      <c r="M12" s="12" t="n">
        <v>29</v>
      </c>
      <c r="N12" s="15" t="n">
        <f aca="false">SUMPRODUCT(COUNTIF(G12:L12,번호조회!$B$4:$B$9))</f>
        <v>0</v>
      </c>
    </row>
    <row r="13" customFormat="false" ht="16.5" hidden="false" customHeight="true" outlineLevel="0" collapsed="false">
      <c r="E13" s="1" t="n">
        <v>46214</v>
      </c>
      <c r="F13" s="12" t="n">
        <v>1232</v>
      </c>
      <c r="G13" s="3" t="n">
        <v>12</v>
      </c>
      <c r="H13" s="4" t="n">
        <v>15</v>
      </c>
      <c r="I13" s="5" t="n">
        <v>19</v>
      </c>
      <c r="J13" s="6" t="n">
        <v>22</v>
      </c>
      <c r="K13" s="7" t="n">
        <v>24</v>
      </c>
      <c r="L13" s="8" t="n">
        <v>36</v>
      </c>
      <c r="M13" s="12" t="n">
        <v>3</v>
      </c>
      <c r="N13" s="15" t="n">
        <f aca="false">SUMPRODUCT(COUNTIF(G13:L13,번호조회!$B$4:$B$9))</f>
        <v>0</v>
      </c>
    </row>
    <row r="14" customFormat="false" ht="16.5" hidden="false" customHeight="true" outlineLevel="0" collapsed="false">
      <c r="E14" s="1" t="n">
        <f aca="false">$E$13-($F$13-F14)*7</f>
        <v>46207</v>
      </c>
      <c r="F14" s="12" t="n">
        <v>1231</v>
      </c>
      <c r="G14" s="3" t="n">
        <v>4</v>
      </c>
      <c r="H14" s="4" t="n">
        <v>13</v>
      </c>
      <c r="I14" s="5" t="n">
        <v>14</v>
      </c>
      <c r="J14" s="6" t="n">
        <v>18</v>
      </c>
      <c r="K14" s="7" t="n">
        <v>31</v>
      </c>
      <c r="L14" s="8" t="n">
        <v>38</v>
      </c>
      <c r="M14" s="12" t="n">
        <v>15</v>
      </c>
      <c r="N14" s="15" t="n">
        <f aca="false">SUMPRODUCT(COUNTIF(G14:L14,번호조회!$B$4:$B$9))</f>
        <v>0</v>
      </c>
    </row>
    <row r="15" customFormat="false" ht="16.5" hidden="false" customHeight="true" outlineLevel="0" collapsed="false">
      <c r="E15" s="1" t="n">
        <f aca="false">$E$13-($F$13-F15)*7</f>
        <v>46200</v>
      </c>
      <c r="F15" s="12" t="n">
        <v>1230</v>
      </c>
      <c r="G15" s="3" t="n">
        <v>3</v>
      </c>
      <c r="H15" s="4" t="n">
        <v>8</v>
      </c>
      <c r="I15" s="5" t="n">
        <v>9</v>
      </c>
      <c r="J15" s="6" t="n">
        <v>22</v>
      </c>
      <c r="K15" s="7" t="n">
        <v>28</v>
      </c>
      <c r="L15" s="8" t="n">
        <v>42</v>
      </c>
      <c r="M15" s="12" t="n">
        <v>45</v>
      </c>
      <c r="N15" s="15" t="n">
        <f aca="false">SUMPRODUCT(COUNTIF(G15:L15,번호조회!$B$4:$B$9))</f>
        <v>0</v>
      </c>
    </row>
    <row r="16" customFormat="false" ht="16.5" hidden="false" customHeight="true" outlineLevel="0" collapsed="false">
      <c r="E16" s="1" t="n">
        <f aca="false">$E$13-($F$13-F16)*7</f>
        <v>46193</v>
      </c>
      <c r="F16" s="12" t="n">
        <v>1229</v>
      </c>
      <c r="G16" s="3" t="n">
        <v>12</v>
      </c>
      <c r="H16" s="4" t="n">
        <v>13</v>
      </c>
      <c r="I16" s="5" t="n">
        <v>29</v>
      </c>
      <c r="J16" s="6" t="n">
        <v>34</v>
      </c>
      <c r="K16" s="7" t="n">
        <v>37</v>
      </c>
      <c r="L16" s="8" t="n">
        <v>42</v>
      </c>
      <c r="M16" s="12" t="n">
        <v>16</v>
      </c>
      <c r="N16" s="15" t="n">
        <f aca="false">SUMPRODUCT(COUNTIF(G16:L16,번호조회!$B$4:$B$9))</f>
        <v>0</v>
      </c>
    </row>
    <row r="17" customFormat="false" ht="16.5" hidden="false" customHeight="true" outlineLevel="0" collapsed="false">
      <c r="E17" s="1" t="n">
        <f aca="false">$E$13-($F$13-F17)*7</f>
        <v>46186</v>
      </c>
      <c r="F17" s="12" t="n">
        <v>1228</v>
      </c>
      <c r="G17" s="3" t="n">
        <v>24</v>
      </c>
      <c r="H17" s="4" t="n">
        <v>29</v>
      </c>
      <c r="I17" s="5" t="n">
        <v>30</v>
      </c>
      <c r="J17" s="6" t="n">
        <v>31</v>
      </c>
      <c r="K17" s="7" t="n">
        <v>35</v>
      </c>
      <c r="L17" s="8" t="n">
        <v>44</v>
      </c>
      <c r="M17" s="12" t="n">
        <v>1</v>
      </c>
      <c r="N17" s="15" t="n">
        <f aca="false">SUMPRODUCT(COUNTIF(G17:L17,번호조회!$B$4:$B$9))</f>
        <v>0</v>
      </c>
    </row>
    <row r="18" customFormat="false" ht="16.5" hidden="false" customHeight="true" outlineLevel="0" collapsed="false">
      <c r="E18" s="1" t="n">
        <f aca="false">$E$13-($F$13-F18)*7</f>
        <v>46179</v>
      </c>
      <c r="F18" s="12" t="n">
        <v>1227</v>
      </c>
      <c r="G18" s="3" t="n">
        <v>1</v>
      </c>
      <c r="H18" s="4" t="n">
        <v>14</v>
      </c>
      <c r="I18" s="5" t="n">
        <v>16</v>
      </c>
      <c r="J18" s="6" t="n">
        <v>34</v>
      </c>
      <c r="K18" s="7" t="n">
        <v>41</v>
      </c>
      <c r="L18" s="8" t="n">
        <v>44</v>
      </c>
      <c r="M18" s="12" t="n">
        <v>13</v>
      </c>
      <c r="N18" s="15" t="n">
        <f aca="false">SUMPRODUCT(COUNTIF(G18:L18,번호조회!$B$4:$B$9))</f>
        <v>0</v>
      </c>
    </row>
    <row r="19" customFormat="false" ht="16.5" hidden="false" customHeight="true" outlineLevel="0" collapsed="false">
      <c r="E19" s="1" t="n">
        <f aca="false">$E$13-($F$13-F19)*7</f>
        <v>46172</v>
      </c>
      <c r="F19" s="12" t="n">
        <v>1226</v>
      </c>
      <c r="G19" s="3" t="n">
        <v>4</v>
      </c>
      <c r="H19" s="4" t="n">
        <v>6</v>
      </c>
      <c r="I19" s="5" t="n">
        <v>13</v>
      </c>
      <c r="J19" s="6" t="n">
        <v>17</v>
      </c>
      <c r="K19" s="7" t="n">
        <v>26</v>
      </c>
      <c r="L19" s="8" t="n">
        <v>28</v>
      </c>
      <c r="M19" s="12" t="n">
        <v>41</v>
      </c>
      <c r="N19" s="15" t="n">
        <f aca="false">SUMPRODUCT(COUNTIF(G19:L19,번호조회!$B$4:$B$9))</f>
        <v>0</v>
      </c>
    </row>
    <row r="20" customFormat="false" ht="16.5" hidden="false" customHeight="true" outlineLevel="0" collapsed="false">
      <c r="E20" s="1" t="n">
        <f aca="false">$E$13-($F$13-F20)*7</f>
        <v>46165</v>
      </c>
      <c r="F20" s="12" t="n">
        <v>1225</v>
      </c>
      <c r="G20" s="3" t="n">
        <v>8</v>
      </c>
      <c r="H20" s="4" t="n">
        <v>9</v>
      </c>
      <c r="I20" s="5" t="n">
        <v>19</v>
      </c>
      <c r="J20" s="6" t="n">
        <v>25</v>
      </c>
      <c r="K20" s="7" t="n">
        <v>41</v>
      </c>
      <c r="L20" s="8" t="n">
        <v>42</v>
      </c>
      <c r="M20" s="12" t="n">
        <v>33</v>
      </c>
      <c r="N20" s="15" t="n">
        <f aca="false">SUMPRODUCT(COUNTIF(G20:L20,번호조회!$B$4:$B$9))</f>
        <v>0</v>
      </c>
    </row>
    <row r="21" customFormat="false" ht="16.5" hidden="false" customHeight="true" outlineLevel="0" collapsed="false">
      <c r="E21" s="1" t="n">
        <f aca="false">$E$13-($F$13-F21)*7</f>
        <v>46158</v>
      </c>
      <c r="F21" s="12" t="n">
        <v>1224</v>
      </c>
      <c r="G21" s="3" t="n">
        <v>9</v>
      </c>
      <c r="H21" s="4" t="n">
        <v>18</v>
      </c>
      <c r="I21" s="5" t="n">
        <v>21</v>
      </c>
      <c r="J21" s="6" t="n">
        <v>27</v>
      </c>
      <c r="K21" s="7" t="n">
        <v>44</v>
      </c>
      <c r="L21" s="8" t="n">
        <v>45</v>
      </c>
      <c r="M21" s="12" t="n">
        <v>28</v>
      </c>
      <c r="N21" s="15" t="n">
        <f aca="false">SUMPRODUCT(COUNTIF(G21:L21,번호조회!$B$4:$B$9))</f>
        <v>0</v>
      </c>
    </row>
    <row r="22" customFormat="false" ht="16.5" hidden="false" customHeight="true" outlineLevel="0" collapsed="false">
      <c r="E22" s="1" t="n">
        <f aca="false">$E$13-($F$13-F22)*7</f>
        <v>46151</v>
      </c>
      <c r="F22" s="12" t="n">
        <v>1223</v>
      </c>
      <c r="G22" s="3" t="n">
        <v>16</v>
      </c>
      <c r="H22" s="4" t="n">
        <v>18</v>
      </c>
      <c r="I22" s="5" t="n">
        <v>20</v>
      </c>
      <c r="J22" s="6" t="n">
        <v>32</v>
      </c>
      <c r="K22" s="7" t="n">
        <v>33</v>
      </c>
      <c r="L22" s="8" t="n">
        <v>39</v>
      </c>
      <c r="M22" s="12" t="n">
        <v>26</v>
      </c>
      <c r="N22" s="15" t="n">
        <f aca="false">SUMPRODUCT(COUNTIF(G22:L22,번호조회!$B$4:$B$9))</f>
        <v>0</v>
      </c>
    </row>
    <row r="23" customFormat="false" ht="16.5" hidden="false" customHeight="true" outlineLevel="0" collapsed="false">
      <c r="E23" s="1" t="n">
        <f aca="false">$E$13-($F$13-F23)*7</f>
        <v>46144</v>
      </c>
      <c r="F23" s="12" t="n">
        <v>1222</v>
      </c>
      <c r="G23" s="3" t="n">
        <v>4</v>
      </c>
      <c r="H23" s="4" t="n">
        <v>11</v>
      </c>
      <c r="I23" s="5" t="n">
        <v>17</v>
      </c>
      <c r="J23" s="6" t="n">
        <v>22</v>
      </c>
      <c r="K23" s="7" t="n">
        <v>32</v>
      </c>
      <c r="L23" s="8" t="n">
        <v>41</v>
      </c>
      <c r="M23" s="12" t="n">
        <v>34</v>
      </c>
      <c r="N23" s="15" t="n">
        <f aca="false">SUMPRODUCT(COUNTIF(G23:L23,번호조회!$B$4:$B$9))</f>
        <v>0</v>
      </c>
    </row>
    <row r="24" customFormat="false" ht="16.5" hidden="false" customHeight="true" outlineLevel="0" collapsed="false">
      <c r="E24" s="1" t="n">
        <f aca="false">$E$13-($F$13-F24)*7</f>
        <v>46137</v>
      </c>
      <c r="F24" s="12" t="n">
        <v>1221</v>
      </c>
      <c r="G24" s="3" t="n">
        <v>6</v>
      </c>
      <c r="H24" s="4" t="n">
        <v>13</v>
      </c>
      <c r="I24" s="5" t="n">
        <v>18</v>
      </c>
      <c r="J24" s="6" t="n">
        <v>28</v>
      </c>
      <c r="K24" s="7" t="n">
        <v>30</v>
      </c>
      <c r="L24" s="8" t="n">
        <v>36</v>
      </c>
      <c r="M24" s="12" t="n">
        <v>9</v>
      </c>
      <c r="N24" s="15" t="n">
        <f aca="false">SUMPRODUCT(COUNTIF(G24:L24,번호조회!$B$4:$B$9))</f>
        <v>0</v>
      </c>
    </row>
    <row r="25" customFormat="false" ht="16.5" hidden="false" customHeight="true" outlineLevel="0" collapsed="false">
      <c r="E25" s="1" t="n">
        <f aca="false">$E$13-($F$13-F25)*7</f>
        <v>46130</v>
      </c>
      <c r="F25" s="12" t="n">
        <v>1220</v>
      </c>
      <c r="G25" s="3" t="n">
        <v>2</v>
      </c>
      <c r="H25" s="4" t="n">
        <v>22</v>
      </c>
      <c r="I25" s="5" t="n">
        <v>25</v>
      </c>
      <c r="J25" s="6" t="n">
        <v>28</v>
      </c>
      <c r="K25" s="7" t="n">
        <v>34</v>
      </c>
      <c r="L25" s="8" t="n">
        <v>43</v>
      </c>
      <c r="M25" s="12" t="n">
        <v>16</v>
      </c>
      <c r="N25" s="15" t="n">
        <f aca="false">SUMPRODUCT(COUNTIF(G25:L25,번호조회!$B$4:$B$9))</f>
        <v>0</v>
      </c>
    </row>
    <row r="26" customFormat="false" ht="16.5" hidden="false" customHeight="true" outlineLevel="0" collapsed="false">
      <c r="E26" s="1" t="n">
        <f aca="false">$E$13-($F$13-F26)*7</f>
        <v>46123</v>
      </c>
      <c r="F26" s="12" t="n">
        <v>1219</v>
      </c>
      <c r="G26" s="3" t="n">
        <v>1</v>
      </c>
      <c r="H26" s="4" t="n">
        <v>2</v>
      </c>
      <c r="I26" s="5" t="n">
        <v>15</v>
      </c>
      <c r="J26" s="6" t="n">
        <v>28</v>
      </c>
      <c r="K26" s="7" t="n">
        <v>39</v>
      </c>
      <c r="L26" s="8" t="n">
        <v>45</v>
      </c>
      <c r="M26" s="12" t="n">
        <v>31</v>
      </c>
      <c r="N26" s="15" t="n">
        <f aca="false">SUMPRODUCT(COUNTIF(G26:L26,번호조회!$B$4:$B$9))</f>
        <v>0</v>
      </c>
    </row>
    <row r="27" customFormat="false" ht="16.5" hidden="false" customHeight="true" outlineLevel="0" collapsed="false">
      <c r="E27" s="1" t="n">
        <f aca="false">$E$13-($F$13-F27)*7</f>
        <v>46116</v>
      </c>
      <c r="F27" s="12" t="n">
        <v>1218</v>
      </c>
      <c r="G27" s="3" t="n">
        <v>3</v>
      </c>
      <c r="H27" s="4" t="n">
        <v>28</v>
      </c>
      <c r="I27" s="5" t="n">
        <v>31</v>
      </c>
      <c r="J27" s="6" t="n">
        <v>32</v>
      </c>
      <c r="K27" s="7" t="n">
        <v>42</v>
      </c>
      <c r="L27" s="8" t="n">
        <v>45</v>
      </c>
      <c r="M27" s="12" t="n">
        <v>25</v>
      </c>
      <c r="N27" s="15" t="n">
        <f aca="false">SUMPRODUCT(COUNTIF(G27:L27,번호조회!$B$4:$B$9))</f>
        <v>0</v>
      </c>
    </row>
    <row r="28" customFormat="false" ht="16.5" hidden="false" customHeight="true" outlineLevel="0" collapsed="false">
      <c r="E28" s="1" t="n">
        <f aca="false">$E$13-($F$13-F28)*7</f>
        <v>46109</v>
      </c>
      <c r="F28" s="12" t="n">
        <v>1217</v>
      </c>
      <c r="G28" s="3" t="n">
        <v>8</v>
      </c>
      <c r="H28" s="4" t="n">
        <v>10</v>
      </c>
      <c r="I28" s="5" t="n">
        <v>15</v>
      </c>
      <c r="J28" s="6" t="n">
        <v>20</v>
      </c>
      <c r="K28" s="7" t="n">
        <v>29</v>
      </c>
      <c r="L28" s="8" t="n">
        <v>31</v>
      </c>
      <c r="M28" s="12" t="n">
        <v>41</v>
      </c>
      <c r="N28" s="15" t="n">
        <f aca="false">SUMPRODUCT(COUNTIF(G28:L28,번호조회!$B$4:$B$9))</f>
        <v>0</v>
      </c>
    </row>
    <row r="29" customFormat="false" ht="16.5" hidden="false" customHeight="true" outlineLevel="0" collapsed="false">
      <c r="E29" s="1" t="n">
        <f aca="false">$E$13-($F$13-F29)*7</f>
        <v>46102</v>
      </c>
      <c r="F29" s="12" t="n">
        <v>1216</v>
      </c>
      <c r="G29" s="3" t="n">
        <v>3</v>
      </c>
      <c r="H29" s="4" t="n">
        <v>10</v>
      </c>
      <c r="I29" s="5" t="n">
        <v>14</v>
      </c>
      <c r="J29" s="6" t="n">
        <v>15</v>
      </c>
      <c r="K29" s="7" t="n">
        <v>23</v>
      </c>
      <c r="L29" s="8" t="n">
        <v>24</v>
      </c>
      <c r="M29" s="12" t="n">
        <v>25</v>
      </c>
      <c r="N29" s="15" t="n">
        <f aca="false">SUMPRODUCT(COUNTIF(G29:L29,번호조회!$B$4:$B$9))</f>
        <v>0</v>
      </c>
    </row>
    <row r="30" customFormat="false" ht="16.5" hidden="false" customHeight="true" outlineLevel="0" collapsed="false">
      <c r="E30" s="1" t="n">
        <f aca="false">$E$13-($F$13-F30)*7</f>
        <v>46095</v>
      </c>
      <c r="F30" s="12" t="n">
        <v>1215</v>
      </c>
      <c r="G30" s="3" t="n">
        <v>13</v>
      </c>
      <c r="H30" s="4" t="n">
        <v>15</v>
      </c>
      <c r="I30" s="5" t="n">
        <v>19</v>
      </c>
      <c r="J30" s="6" t="n">
        <v>21</v>
      </c>
      <c r="K30" s="7" t="n">
        <v>44</v>
      </c>
      <c r="L30" s="8" t="n">
        <v>45</v>
      </c>
      <c r="M30" s="12" t="n">
        <v>39</v>
      </c>
      <c r="N30" s="15" t="n">
        <f aca="false">SUMPRODUCT(COUNTIF(G30:L30,번호조회!$B$4:$B$9))</f>
        <v>0</v>
      </c>
    </row>
    <row r="31" customFormat="false" ht="16.5" hidden="false" customHeight="true" outlineLevel="0" collapsed="false">
      <c r="E31" s="1" t="n">
        <f aca="false">$E$13-($F$13-F31)*7</f>
        <v>46088</v>
      </c>
      <c r="F31" s="12" t="n">
        <v>1214</v>
      </c>
      <c r="G31" s="3" t="n">
        <v>10</v>
      </c>
      <c r="H31" s="4" t="n">
        <v>15</v>
      </c>
      <c r="I31" s="5" t="n">
        <v>19</v>
      </c>
      <c r="J31" s="6" t="n">
        <v>27</v>
      </c>
      <c r="K31" s="7" t="n">
        <v>30</v>
      </c>
      <c r="L31" s="8" t="n">
        <v>33</v>
      </c>
      <c r="M31" s="12" t="n">
        <v>14</v>
      </c>
      <c r="N31" s="15" t="n">
        <f aca="false">SUMPRODUCT(COUNTIF(G31:L31,번호조회!$B$4:$B$9))</f>
        <v>0</v>
      </c>
    </row>
    <row r="32" customFormat="false" ht="16.5" hidden="false" customHeight="true" outlineLevel="0" collapsed="false">
      <c r="E32" s="1" t="n">
        <f aca="false">$E$13-($F$13-F32)*7</f>
        <v>46081</v>
      </c>
      <c r="F32" s="12" t="n">
        <v>1213</v>
      </c>
      <c r="G32" s="3" t="n">
        <v>5</v>
      </c>
      <c r="H32" s="4" t="n">
        <v>11</v>
      </c>
      <c r="I32" s="5" t="n">
        <v>25</v>
      </c>
      <c r="J32" s="6" t="n">
        <v>27</v>
      </c>
      <c r="K32" s="7" t="n">
        <v>36</v>
      </c>
      <c r="L32" s="8" t="n">
        <v>38</v>
      </c>
      <c r="M32" s="12" t="n">
        <v>2</v>
      </c>
      <c r="N32" s="15" t="n">
        <f aca="false">SUMPRODUCT(COUNTIF(G32:L32,번호조회!$B$4:$B$9))</f>
        <v>0</v>
      </c>
    </row>
    <row r="33" customFormat="false" ht="16.5" hidden="false" customHeight="true" outlineLevel="0" collapsed="false">
      <c r="E33" s="1" t="n">
        <f aca="false">$E$13-($F$13-F33)*7</f>
        <v>46074</v>
      </c>
      <c r="F33" s="12" t="n">
        <v>1212</v>
      </c>
      <c r="G33" s="3" t="n">
        <v>5</v>
      </c>
      <c r="H33" s="4" t="n">
        <v>8</v>
      </c>
      <c r="I33" s="5" t="n">
        <v>25</v>
      </c>
      <c r="J33" s="6" t="n">
        <v>31</v>
      </c>
      <c r="K33" s="7" t="n">
        <v>41</v>
      </c>
      <c r="L33" s="8" t="n">
        <v>44</v>
      </c>
      <c r="M33" s="12" t="n">
        <v>45</v>
      </c>
      <c r="N33" s="15" t="n">
        <f aca="false">SUMPRODUCT(COUNTIF(G33:L33,번호조회!$B$4:$B$9))</f>
        <v>0</v>
      </c>
    </row>
    <row r="34" customFormat="false" ht="16.5" hidden="false" customHeight="true" outlineLevel="0" collapsed="false">
      <c r="E34" s="1" t="n">
        <f aca="false">$E$13-($F$13-F34)*7</f>
        <v>46067</v>
      </c>
      <c r="F34" s="12" t="n">
        <v>1211</v>
      </c>
      <c r="G34" s="3" t="n">
        <v>23</v>
      </c>
      <c r="H34" s="4" t="n">
        <v>26</v>
      </c>
      <c r="I34" s="5" t="n">
        <v>27</v>
      </c>
      <c r="J34" s="6" t="n">
        <v>35</v>
      </c>
      <c r="K34" s="7" t="n">
        <v>38</v>
      </c>
      <c r="L34" s="8" t="n">
        <v>40</v>
      </c>
      <c r="M34" s="12" t="n">
        <v>10</v>
      </c>
      <c r="N34" s="15" t="n">
        <f aca="false">SUMPRODUCT(COUNTIF(G34:L34,번호조회!$B$4:$B$9))</f>
        <v>0</v>
      </c>
    </row>
    <row r="35" customFormat="false" ht="16.5" hidden="false" customHeight="true" outlineLevel="0" collapsed="false">
      <c r="E35" s="1" t="n">
        <f aca="false">$E$13-($F$13-F35)*7</f>
        <v>46060</v>
      </c>
      <c r="F35" s="12" t="n">
        <v>1210</v>
      </c>
      <c r="G35" s="3" t="n">
        <v>1</v>
      </c>
      <c r="H35" s="4" t="n">
        <v>7</v>
      </c>
      <c r="I35" s="5" t="n">
        <v>9</v>
      </c>
      <c r="J35" s="6" t="n">
        <v>17</v>
      </c>
      <c r="K35" s="7" t="n">
        <v>27</v>
      </c>
      <c r="L35" s="8" t="n">
        <v>38</v>
      </c>
      <c r="M35" s="12" t="n">
        <v>31</v>
      </c>
      <c r="N35" s="15" t="n">
        <f aca="false">SUMPRODUCT(COUNTIF(G35:L35,번호조회!$B$4:$B$9))</f>
        <v>0</v>
      </c>
    </row>
    <row r="36" customFormat="false" ht="16.5" hidden="false" customHeight="true" outlineLevel="0" collapsed="false">
      <c r="E36" s="1" t="n">
        <f aca="false">$E$13-($F$13-F36)*7</f>
        <v>46053</v>
      </c>
      <c r="F36" s="12" t="n">
        <v>1209</v>
      </c>
      <c r="G36" s="3" t="n">
        <v>2</v>
      </c>
      <c r="H36" s="4" t="n">
        <v>17</v>
      </c>
      <c r="I36" s="5" t="n">
        <v>20</v>
      </c>
      <c r="J36" s="6" t="n">
        <v>35</v>
      </c>
      <c r="K36" s="7" t="n">
        <v>37</v>
      </c>
      <c r="L36" s="8" t="n">
        <v>39</v>
      </c>
      <c r="M36" s="12" t="n">
        <v>24</v>
      </c>
      <c r="N36" s="15" t="n">
        <f aca="false">SUMPRODUCT(COUNTIF(G36:L36,번호조회!$B$4:$B$9))</f>
        <v>0</v>
      </c>
    </row>
    <row r="37" customFormat="false" ht="16.5" hidden="false" customHeight="true" outlineLevel="0" collapsed="false">
      <c r="E37" s="1" t="n">
        <f aca="false">$E$13-($F$13-F37)*7</f>
        <v>46046</v>
      </c>
      <c r="F37" s="12" t="n">
        <v>1208</v>
      </c>
      <c r="G37" s="3" t="n">
        <v>6</v>
      </c>
      <c r="H37" s="4" t="n">
        <v>27</v>
      </c>
      <c r="I37" s="5" t="n">
        <v>30</v>
      </c>
      <c r="J37" s="6" t="n">
        <v>36</v>
      </c>
      <c r="K37" s="7" t="n">
        <v>38</v>
      </c>
      <c r="L37" s="8" t="n">
        <v>42</v>
      </c>
      <c r="M37" s="12" t="n">
        <v>25</v>
      </c>
      <c r="N37" s="15" t="n">
        <f aca="false">SUMPRODUCT(COUNTIF(G37:L37,번호조회!$B$4:$B$9))</f>
        <v>0</v>
      </c>
    </row>
    <row r="38" customFormat="false" ht="16.5" hidden="false" customHeight="true" outlineLevel="0" collapsed="false">
      <c r="E38" s="1" t="n">
        <f aca="false">$E$13-($F$13-F38)*7</f>
        <v>46039</v>
      </c>
      <c r="F38" s="12" t="n">
        <v>1207</v>
      </c>
      <c r="G38" s="3" t="n">
        <v>10</v>
      </c>
      <c r="H38" s="4" t="n">
        <v>22</v>
      </c>
      <c r="I38" s="5" t="n">
        <v>24</v>
      </c>
      <c r="J38" s="6" t="n">
        <v>27</v>
      </c>
      <c r="K38" s="7" t="n">
        <v>38</v>
      </c>
      <c r="L38" s="8" t="n">
        <v>45</v>
      </c>
      <c r="M38" s="12" t="n">
        <v>11</v>
      </c>
      <c r="N38" s="15" t="n">
        <f aca="false">SUMPRODUCT(COUNTIF(G38:L38,번호조회!$B$4:$B$9))</f>
        <v>0</v>
      </c>
    </row>
    <row r="39" customFormat="false" ht="16.5" hidden="false" customHeight="true" outlineLevel="0" collapsed="false">
      <c r="E39" s="1" t="n">
        <f aca="false">$E$13-($F$13-F39)*7</f>
        <v>46032</v>
      </c>
      <c r="F39" s="12" t="n">
        <v>1206</v>
      </c>
      <c r="G39" s="3" t="n">
        <v>1</v>
      </c>
      <c r="H39" s="4" t="n">
        <v>3</v>
      </c>
      <c r="I39" s="5" t="n">
        <v>17</v>
      </c>
      <c r="J39" s="6" t="n">
        <v>26</v>
      </c>
      <c r="K39" s="7" t="n">
        <v>27</v>
      </c>
      <c r="L39" s="8" t="n">
        <v>42</v>
      </c>
      <c r="M39" s="12" t="n">
        <v>23</v>
      </c>
      <c r="N39" s="15" t="n">
        <f aca="false">SUMPRODUCT(COUNTIF(G39:L39,번호조회!$B$4:$B$9))</f>
        <v>0</v>
      </c>
    </row>
    <row r="40" customFormat="false" ht="16.5" hidden="false" customHeight="true" outlineLevel="0" collapsed="false">
      <c r="E40" s="1" t="n">
        <f aca="false">$E$13-($F$13-F40)*7</f>
        <v>46025</v>
      </c>
      <c r="F40" s="12" t="n">
        <v>1205</v>
      </c>
      <c r="G40" s="3" t="n">
        <v>1</v>
      </c>
      <c r="H40" s="4" t="n">
        <v>4</v>
      </c>
      <c r="I40" s="5" t="n">
        <v>16</v>
      </c>
      <c r="J40" s="6" t="n">
        <v>23</v>
      </c>
      <c r="K40" s="7" t="n">
        <v>31</v>
      </c>
      <c r="L40" s="8" t="n">
        <v>41</v>
      </c>
      <c r="M40" s="12" t="n">
        <v>2</v>
      </c>
      <c r="N40" s="15" t="n">
        <f aca="false">SUMPRODUCT(COUNTIF(G40:L40,번호조회!$B$4:$B$9))</f>
        <v>0</v>
      </c>
    </row>
    <row r="41" customFormat="false" ht="16.5" hidden="false" customHeight="true" outlineLevel="0" collapsed="false">
      <c r="E41" s="1" t="n">
        <f aca="false">$E$13-($F$13-F41)*7</f>
        <v>46018</v>
      </c>
      <c r="F41" s="12" t="n">
        <v>1204</v>
      </c>
      <c r="G41" s="3" t="n">
        <v>8</v>
      </c>
      <c r="H41" s="4" t="n">
        <v>16</v>
      </c>
      <c r="I41" s="5" t="n">
        <v>28</v>
      </c>
      <c r="J41" s="6" t="n">
        <v>30</v>
      </c>
      <c r="K41" s="7" t="n">
        <v>31</v>
      </c>
      <c r="L41" s="8" t="n">
        <v>44</v>
      </c>
      <c r="M41" s="12" t="n">
        <v>27</v>
      </c>
      <c r="N41" s="15" t="n">
        <f aca="false">SUMPRODUCT(COUNTIF(G41:L41,번호조회!$B$4:$B$9))</f>
        <v>0</v>
      </c>
    </row>
    <row r="42" customFormat="false" ht="16.5" hidden="false" customHeight="true" outlineLevel="0" collapsed="false">
      <c r="E42" s="1" t="n">
        <f aca="false">$E$13-($F$13-F42)*7</f>
        <v>46011</v>
      </c>
      <c r="F42" s="12" t="n">
        <v>1203</v>
      </c>
      <c r="G42" s="3" t="n">
        <v>3</v>
      </c>
      <c r="H42" s="4" t="n">
        <v>6</v>
      </c>
      <c r="I42" s="5" t="n">
        <v>18</v>
      </c>
      <c r="J42" s="6" t="n">
        <v>29</v>
      </c>
      <c r="K42" s="7" t="n">
        <v>35</v>
      </c>
      <c r="L42" s="8" t="n">
        <v>39</v>
      </c>
      <c r="M42" s="12" t="n">
        <v>24</v>
      </c>
      <c r="N42" s="15" t="n">
        <f aca="false">SUMPRODUCT(COUNTIF(G42:L42,번호조회!$B$4:$B$9))</f>
        <v>0</v>
      </c>
    </row>
    <row r="43" customFormat="false" ht="16.5" hidden="false" customHeight="true" outlineLevel="0" collapsed="false">
      <c r="E43" s="1" t="n">
        <f aca="false">$E$13-($F$13-F43)*7</f>
        <v>46004</v>
      </c>
      <c r="F43" s="12" t="n">
        <v>1202</v>
      </c>
      <c r="G43" s="3" t="n">
        <v>5</v>
      </c>
      <c r="H43" s="4" t="n">
        <v>12</v>
      </c>
      <c r="I43" s="5" t="n">
        <v>21</v>
      </c>
      <c r="J43" s="6" t="n">
        <v>33</v>
      </c>
      <c r="K43" s="7" t="n">
        <v>37</v>
      </c>
      <c r="L43" s="8" t="n">
        <v>40</v>
      </c>
      <c r="M43" s="12" t="n">
        <v>7</v>
      </c>
      <c r="N43" s="15" t="n">
        <f aca="false">SUMPRODUCT(COUNTIF(G43:L43,번호조회!$B$4:$B$9))</f>
        <v>0</v>
      </c>
    </row>
    <row r="44" customFormat="false" ht="16.5" hidden="false" customHeight="true" outlineLevel="0" collapsed="false">
      <c r="E44" s="1" t="n">
        <f aca="false">$E$13-($F$13-F44)*7</f>
        <v>45997</v>
      </c>
      <c r="F44" s="12" t="n">
        <v>1201</v>
      </c>
      <c r="G44" s="3" t="n">
        <v>7</v>
      </c>
      <c r="H44" s="4" t="n">
        <v>9</v>
      </c>
      <c r="I44" s="5" t="n">
        <v>24</v>
      </c>
      <c r="J44" s="6" t="n">
        <v>27</v>
      </c>
      <c r="K44" s="7" t="n">
        <v>35</v>
      </c>
      <c r="L44" s="8" t="n">
        <v>36</v>
      </c>
      <c r="M44" s="12" t="n">
        <v>37</v>
      </c>
      <c r="N44" s="15" t="n">
        <f aca="false">SUMPRODUCT(COUNTIF(G44:L44,번호조회!$B$4:$B$9))</f>
        <v>0</v>
      </c>
    </row>
    <row r="45" customFormat="false" ht="16.5" hidden="false" customHeight="true" outlineLevel="0" collapsed="false">
      <c r="E45" s="1" t="n">
        <f aca="false">$E$13-($F$13-F45)*7</f>
        <v>45990</v>
      </c>
      <c r="F45" s="12" t="n">
        <v>1200</v>
      </c>
      <c r="G45" s="3" t="n">
        <v>1</v>
      </c>
      <c r="H45" s="4" t="n">
        <v>2</v>
      </c>
      <c r="I45" s="5" t="n">
        <v>4</v>
      </c>
      <c r="J45" s="6" t="n">
        <v>16</v>
      </c>
      <c r="K45" s="7" t="n">
        <v>20</v>
      </c>
      <c r="L45" s="8" t="n">
        <v>32</v>
      </c>
      <c r="M45" s="12" t="n">
        <v>45</v>
      </c>
      <c r="N45" s="15" t="n">
        <f aca="false">SUMPRODUCT(COUNTIF(G45:L45,번호조회!$B$4:$B$9))</f>
        <v>0</v>
      </c>
    </row>
    <row r="46" customFormat="false" ht="16.5" hidden="false" customHeight="true" outlineLevel="0" collapsed="false">
      <c r="E46" s="1" t="n">
        <f aca="false">$E$13-($F$13-F46)*7</f>
        <v>45983</v>
      </c>
      <c r="F46" s="12" t="n">
        <v>1199</v>
      </c>
      <c r="G46" s="3" t="n">
        <v>16</v>
      </c>
      <c r="H46" s="4" t="n">
        <v>24</v>
      </c>
      <c r="I46" s="5" t="n">
        <v>25</v>
      </c>
      <c r="J46" s="6" t="n">
        <v>30</v>
      </c>
      <c r="K46" s="7" t="n">
        <v>31</v>
      </c>
      <c r="L46" s="8" t="n">
        <v>32</v>
      </c>
      <c r="M46" s="12" t="n">
        <v>7</v>
      </c>
      <c r="N46" s="15" t="n">
        <f aca="false">SUMPRODUCT(COUNTIF(G46:L46,번호조회!$B$4:$B$9))</f>
        <v>0</v>
      </c>
    </row>
    <row r="47" customFormat="false" ht="16.5" hidden="false" customHeight="true" outlineLevel="0" collapsed="false">
      <c r="E47" s="1" t="n">
        <f aca="false">$E$13-($F$13-F47)*7</f>
        <v>45976</v>
      </c>
      <c r="F47" s="12" t="n">
        <v>1198</v>
      </c>
      <c r="G47" s="3" t="n">
        <v>26</v>
      </c>
      <c r="H47" s="4" t="n">
        <v>30</v>
      </c>
      <c r="I47" s="5" t="n">
        <v>33</v>
      </c>
      <c r="J47" s="6" t="n">
        <v>38</v>
      </c>
      <c r="K47" s="7" t="n">
        <v>39</v>
      </c>
      <c r="L47" s="8" t="n">
        <v>41</v>
      </c>
      <c r="M47" s="12" t="n">
        <v>21</v>
      </c>
      <c r="N47" s="15" t="n">
        <f aca="false">SUMPRODUCT(COUNTIF(G47:L47,번호조회!$B$4:$B$9))</f>
        <v>0</v>
      </c>
    </row>
    <row r="48" customFormat="false" ht="16.5" hidden="false" customHeight="true" outlineLevel="0" collapsed="false">
      <c r="E48" s="1" t="n">
        <f aca="false">$E$13-($F$13-F48)*7</f>
        <v>45969</v>
      </c>
      <c r="F48" s="12" t="n">
        <v>1197</v>
      </c>
      <c r="G48" s="3" t="n">
        <v>1</v>
      </c>
      <c r="H48" s="4" t="n">
        <v>5</v>
      </c>
      <c r="I48" s="5" t="n">
        <v>7</v>
      </c>
      <c r="J48" s="6" t="n">
        <v>26</v>
      </c>
      <c r="K48" s="7" t="n">
        <v>28</v>
      </c>
      <c r="L48" s="8" t="n">
        <v>43</v>
      </c>
      <c r="M48" s="12" t="n">
        <v>30</v>
      </c>
      <c r="N48" s="15" t="n">
        <f aca="false">SUMPRODUCT(COUNTIF(G48:L48,번호조회!$B$4:$B$9))</f>
        <v>0</v>
      </c>
    </row>
    <row r="49" customFormat="false" ht="16.5" hidden="false" customHeight="true" outlineLevel="0" collapsed="false">
      <c r="E49" s="1" t="n">
        <f aca="false">$E$13-($F$13-F49)*7</f>
        <v>45962</v>
      </c>
      <c r="F49" s="12" t="n">
        <v>1196</v>
      </c>
      <c r="G49" s="3" t="n">
        <v>8</v>
      </c>
      <c r="H49" s="4" t="n">
        <v>12</v>
      </c>
      <c r="I49" s="5" t="n">
        <v>15</v>
      </c>
      <c r="J49" s="6" t="n">
        <v>29</v>
      </c>
      <c r="K49" s="7" t="n">
        <v>40</v>
      </c>
      <c r="L49" s="8" t="n">
        <v>45</v>
      </c>
      <c r="M49" s="12" t="n">
        <v>14</v>
      </c>
      <c r="N49" s="15" t="n">
        <f aca="false">SUMPRODUCT(COUNTIF(G49:L49,번호조회!$B$4:$B$9))</f>
        <v>0</v>
      </c>
    </row>
    <row r="50" customFormat="false" ht="16.5" hidden="false" customHeight="true" outlineLevel="0" collapsed="false">
      <c r="E50" s="1" t="n">
        <f aca="false">$E$13-($F$13-F50)*7</f>
        <v>45955</v>
      </c>
      <c r="F50" s="12" t="n">
        <v>1195</v>
      </c>
      <c r="G50" s="3" t="n">
        <v>3</v>
      </c>
      <c r="H50" s="4" t="n">
        <v>15</v>
      </c>
      <c r="I50" s="5" t="n">
        <v>27</v>
      </c>
      <c r="J50" s="6" t="n">
        <v>33</v>
      </c>
      <c r="K50" s="7" t="n">
        <v>34</v>
      </c>
      <c r="L50" s="8" t="n">
        <v>36</v>
      </c>
      <c r="M50" s="12" t="n">
        <v>37</v>
      </c>
      <c r="N50" s="15" t="n">
        <f aca="false">SUMPRODUCT(COUNTIF(G50:L50,번호조회!$B$4:$B$9))</f>
        <v>0</v>
      </c>
    </row>
    <row r="51" customFormat="false" ht="16.5" hidden="false" customHeight="true" outlineLevel="0" collapsed="false">
      <c r="E51" s="1" t="n">
        <f aca="false">$E$13-($F$13-F51)*7</f>
        <v>45948</v>
      </c>
      <c r="F51" s="12" t="n">
        <v>1194</v>
      </c>
      <c r="G51" s="3" t="n">
        <v>3</v>
      </c>
      <c r="H51" s="4" t="n">
        <v>13</v>
      </c>
      <c r="I51" s="5" t="n">
        <v>15</v>
      </c>
      <c r="J51" s="6" t="n">
        <v>24</v>
      </c>
      <c r="K51" s="7" t="n">
        <v>33</v>
      </c>
      <c r="L51" s="8" t="n">
        <v>37</v>
      </c>
      <c r="M51" s="12" t="n">
        <v>2</v>
      </c>
      <c r="N51" s="15" t="n">
        <f aca="false">SUMPRODUCT(COUNTIF(G51:L51,번호조회!$B$4:$B$9))</f>
        <v>0</v>
      </c>
    </row>
    <row r="52" customFormat="false" ht="16.5" hidden="false" customHeight="true" outlineLevel="0" collapsed="false">
      <c r="E52" s="1" t="n">
        <f aca="false">$E$13-($F$13-F52)*7</f>
        <v>45941</v>
      </c>
      <c r="F52" s="12" t="n">
        <v>1193</v>
      </c>
      <c r="G52" s="3" t="n">
        <v>6</v>
      </c>
      <c r="H52" s="4" t="n">
        <v>9</v>
      </c>
      <c r="I52" s="5" t="n">
        <v>16</v>
      </c>
      <c r="J52" s="6" t="n">
        <v>19</v>
      </c>
      <c r="K52" s="7" t="n">
        <v>24</v>
      </c>
      <c r="L52" s="8" t="n">
        <v>28</v>
      </c>
      <c r="M52" s="12" t="n">
        <v>17</v>
      </c>
      <c r="N52" s="15" t="n">
        <f aca="false">SUMPRODUCT(COUNTIF(G52:L52,번호조회!$B$4:$B$9))</f>
        <v>0</v>
      </c>
    </row>
    <row r="53" customFormat="false" ht="16.5" hidden="false" customHeight="true" outlineLevel="0" collapsed="false">
      <c r="E53" s="1" t="n">
        <f aca="false">$E$13-($F$13-F53)*7</f>
        <v>45934</v>
      </c>
      <c r="F53" s="12" t="n">
        <v>1192</v>
      </c>
      <c r="G53" s="3" t="n">
        <v>10</v>
      </c>
      <c r="H53" s="4" t="n">
        <v>16</v>
      </c>
      <c r="I53" s="5" t="n">
        <v>23</v>
      </c>
      <c r="J53" s="6" t="n">
        <v>36</v>
      </c>
      <c r="K53" s="7" t="n">
        <v>39</v>
      </c>
      <c r="L53" s="8" t="n">
        <v>40</v>
      </c>
      <c r="M53" s="12" t="n">
        <v>11</v>
      </c>
      <c r="N53" s="15" t="n">
        <f aca="false">SUMPRODUCT(COUNTIF(G53:L53,번호조회!$B$4:$B$9))</f>
        <v>0</v>
      </c>
    </row>
    <row r="54" customFormat="false" ht="16.5" hidden="false" customHeight="true" outlineLevel="0" collapsed="false">
      <c r="E54" s="1" t="n">
        <f aca="false">$E$13-($F$13-F54)*7</f>
        <v>45927</v>
      </c>
      <c r="F54" s="12" t="n">
        <v>1191</v>
      </c>
      <c r="G54" s="3" t="n">
        <v>1</v>
      </c>
      <c r="H54" s="4" t="n">
        <v>4</v>
      </c>
      <c r="I54" s="5" t="n">
        <v>11</v>
      </c>
      <c r="J54" s="6" t="n">
        <v>12</v>
      </c>
      <c r="K54" s="7" t="n">
        <v>20</v>
      </c>
      <c r="L54" s="8" t="n">
        <v>41</v>
      </c>
      <c r="M54" s="12" t="n">
        <v>2</v>
      </c>
      <c r="N54" s="15" t="n">
        <f aca="false">SUMPRODUCT(COUNTIF(G54:L54,번호조회!$B$4:$B$9))</f>
        <v>0</v>
      </c>
    </row>
    <row r="55" customFormat="false" ht="16.5" hidden="false" customHeight="true" outlineLevel="0" collapsed="false">
      <c r="E55" s="1" t="n">
        <f aca="false">$E$13-($F$13-F55)*7</f>
        <v>45920</v>
      </c>
      <c r="F55" s="12" t="n">
        <v>1190</v>
      </c>
      <c r="G55" s="3" t="n">
        <v>7</v>
      </c>
      <c r="H55" s="4" t="n">
        <v>9</v>
      </c>
      <c r="I55" s="5" t="n">
        <v>19</v>
      </c>
      <c r="J55" s="6" t="n">
        <v>23</v>
      </c>
      <c r="K55" s="7" t="n">
        <v>26</v>
      </c>
      <c r="L55" s="8" t="n">
        <v>45</v>
      </c>
      <c r="M55" s="12" t="n">
        <v>33</v>
      </c>
      <c r="N55" s="15" t="n">
        <f aca="false">SUMPRODUCT(COUNTIF(G55:L55,번호조회!$B$4:$B$9))</f>
        <v>0</v>
      </c>
    </row>
    <row r="56" customFormat="false" ht="16.5" hidden="false" customHeight="true" outlineLevel="0" collapsed="false">
      <c r="E56" s="1" t="n">
        <f aca="false">$E$13-($F$13-F56)*7</f>
        <v>45913</v>
      </c>
      <c r="F56" s="12" t="n">
        <v>1189</v>
      </c>
      <c r="G56" s="3" t="n">
        <v>9</v>
      </c>
      <c r="H56" s="4" t="n">
        <v>19</v>
      </c>
      <c r="I56" s="5" t="n">
        <v>29</v>
      </c>
      <c r="J56" s="6" t="n">
        <v>35</v>
      </c>
      <c r="K56" s="7" t="n">
        <v>37</v>
      </c>
      <c r="L56" s="8" t="n">
        <v>38</v>
      </c>
      <c r="M56" s="12" t="n">
        <v>31</v>
      </c>
      <c r="N56" s="15" t="n">
        <f aca="false">SUMPRODUCT(COUNTIF(G56:L56,번호조회!$B$4:$B$9))</f>
        <v>0</v>
      </c>
    </row>
    <row r="57" customFormat="false" ht="16.5" hidden="false" customHeight="true" outlineLevel="0" collapsed="false">
      <c r="E57" s="1" t="n">
        <f aca="false">$E$13-($F$13-F57)*7</f>
        <v>45906</v>
      </c>
      <c r="F57" s="12" t="n">
        <v>1188</v>
      </c>
      <c r="G57" s="3" t="n">
        <v>3</v>
      </c>
      <c r="H57" s="4" t="n">
        <v>4</v>
      </c>
      <c r="I57" s="5" t="n">
        <v>12</v>
      </c>
      <c r="J57" s="6" t="n">
        <v>19</v>
      </c>
      <c r="K57" s="7" t="n">
        <v>22</v>
      </c>
      <c r="L57" s="8" t="n">
        <v>27</v>
      </c>
      <c r="M57" s="12" t="n">
        <v>9</v>
      </c>
      <c r="N57" s="15" t="n">
        <f aca="false">SUMPRODUCT(COUNTIF(G57:L57,번호조회!$B$4:$B$9))</f>
        <v>0</v>
      </c>
    </row>
    <row r="58" customFormat="false" ht="16.5" hidden="false" customHeight="true" outlineLevel="0" collapsed="false">
      <c r="E58" s="1" t="n">
        <f aca="false">$E$13-($F$13-F58)*7</f>
        <v>45899</v>
      </c>
      <c r="F58" s="12" t="n">
        <v>1187</v>
      </c>
      <c r="G58" s="3" t="n">
        <v>5</v>
      </c>
      <c r="H58" s="4" t="n">
        <v>13</v>
      </c>
      <c r="I58" s="5" t="n">
        <v>26</v>
      </c>
      <c r="J58" s="6" t="n">
        <v>29</v>
      </c>
      <c r="K58" s="7" t="n">
        <v>37</v>
      </c>
      <c r="L58" s="8" t="n">
        <v>40</v>
      </c>
      <c r="M58" s="12" t="n">
        <v>42</v>
      </c>
      <c r="N58" s="15" t="n">
        <f aca="false">SUMPRODUCT(COUNTIF(G58:L58,번호조회!$B$4:$B$9))</f>
        <v>0</v>
      </c>
    </row>
    <row r="59" customFormat="false" ht="16.5" hidden="false" customHeight="true" outlineLevel="0" collapsed="false">
      <c r="E59" s="1" t="n">
        <f aca="false">$E$13-($F$13-F59)*7</f>
        <v>45892</v>
      </c>
      <c r="F59" s="12" t="n">
        <v>1186</v>
      </c>
      <c r="G59" s="3" t="n">
        <v>2</v>
      </c>
      <c r="H59" s="4" t="n">
        <v>8</v>
      </c>
      <c r="I59" s="5" t="n">
        <v>13</v>
      </c>
      <c r="J59" s="6" t="n">
        <v>16</v>
      </c>
      <c r="K59" s="7" t="n">
        <v>23</v>
      </c>
      <c r="L59" s="8" t="n">
        <v>28</v>
      </c>
      <c r="M59" s="12" t="n">
        <v>35</v>
      </c>
      <c r="N59" s="15" t="n">
        <f aca="false">SUMPRODUCT(COUNTIF(G59:L59,번호조회!$B$4:$B$9))</f>
        <v>0</v>
      </c>
    </row>
    <row r="60" customFormat="false" ht="16.5" hidden="false" customHeight="true" outlineLevel="0" collapsed="false">
      <c r="E60" s="1" t="n">
        <f aca="false">$E$13-($F$13-F60)*7</f>
        <v>45885</v>
      </c>
      <c r="F60" s="12" t="n">
        <v>1185</v>
      </c>
      <c r="G60" s="3" t="n">
        <v>6</v>
      </c>
      <c r="H60" s="4" t="n">
        <v>17</v>
      </c>
      <c r="I60" s="5" t="n">
        <v>22</v>
      </c>
      <c r="J60" s="6" t="n">
        <v>28</v>
      </c>
      <c r="K60" s="7" t="n">
        <v>29</v>
      </c>
      <c r="L60" s="8" t="n">
        <v>32</v>
      </c>
      <c r="M60" s="12" t="n">
        <v>38</v>
      </c>
      <c r="N60" s="15" t="n">
        <f aca="false">SUMPRODUCT(COUNTIF(G60:L60,번호조회!$B$4:$B$9))</f>
        <v>0</v>
      </c>
    </row>
    <row r="61" customFormat="false" ht="16.5" hidden="false" customHeight="true" outlineLevel="0" collapsed="false">
      <c r="E61" s="1" t="n">
        <f aca="false">$E$13-($F$13-F61)*7</f>
        <v>45878</v>
      </c>
      <c r="F61" s="12" t="n">
        <v>1184</v>
      </c>
      <c r="G61" s="3" t="n">
        <v>14</v>
      </c>
      <c r="H61" s="4" t="n">
        <v>16</v>
      </c>
      <c r="I61" s="5" t="n">
        <v>23</v>
      </c>
      <c r="J61" s="6" t="n">
        <v>25</v>
      </c>
      <c r="K61" s="7" t="n">
        <v>31</v>
      </c>
      <c r="L61" s="8" t="n">
        <v>37</v>
      </c>
      <c r="M61" s="12" t="n">
        <v>42</v>
      </c>
      <c r="N61" s="15" t="n">
        <f aca="false">SUMPRODUCT(COUNTIF(G61:L61,번호조회!$B$4:$B$9))</f>
        <v>0</v>
      </c>
    </row>
    <row r="62" customFormat="false" ht="16.5" hidden="false" customHeight="true" outlineLevel="0" collapsed="false">
      <c r="E62" s="1" t="n">
        <f aca="false">$E$13-($F$13-F62)*7</f>
        <v>45871</v>
      </c>
      <c r="F62" s="12" t="n">
        <v>1183</v>
      </c>
      <c r="G62" s="3" t="n">
        <v>4</v>
      </c>
      <c r="H62" s="4" t="n">
        <v>15</v>
      </c>
      <c r="I62" s="5" t="n">
        <v>17</v>
      </c>
      <c r="J62" s="6" t="n">
        <v>23</v>
      </c>
      <c r="K62" s="7" t="n">
        <v>27</v>
      </c>
      <c r="L62" s="8" t="n">
        <v>36</v>
      </c>
      <c r="M62" s="12" t="n">
        <v>31</v>
      </c>
      <c r="N62" s="15" t="n">
        <f aca="false">SUMPRODUCT(COUNTIF(G62:L62,번호조회!$B$4:$B$9))</f>
        <v>0</v>
      </c>
    </row>
    <row r="63" customFormat="false" ht="16.5" hidden="false" customHeight="true" outlineLevel="0" collapsed="false">
      <c r="E63" s="1" t="n">
        <f aca="false">$E$13-($F$13-F63)*7</f>
        <v>45864</v>
      </c>
      <c r="F63" s="12" t="n">
        <v>1182</v>
      </c>
      <c r="G63" s="3" t="n">
        <v>1</v>
      </c>
      <c r="H63" s="4" t="n">
        <v>13</v>
      </c>
      <c r="I63" s="5" t="n">
        <v>21</v>
      </c>
      <c r="J63" s="6" t="n">
        <v>25</v>
      </c>
      <c r="K63" s="7" t="n">
        <v>28</v>
      </c>
      <c r="L63" s="8" t="n">
        <v>31</v>
      </c>
      <c r="M63" s="12" t="n">
        <v>22</v>
      </c>
      <c r="N63" s="15" t="n">
        <f aca="false">SUMPRODUCT(COUNTIF(G63:L63,번호조회!$B$4:$B$9))</f>
        <v>0</v>
      </c>
    </row>
    <row r="64" customFormat="false" ht="16.5" hidden="false" customHeight="true" outlineLevel="0" collapsed="false">
      <c r="E64" s="1" t="n">
        <f aca="false">$E$13-($F$13-F64)*7</f>
        <v>45857</v>
      </c>
      <c r="F64" s="12" t="n">
        <v>1181</v>
      </c>
      <c r="G64" s="3" t="n">
        <v>8</v>
      </c>
      <c r="H64" s="4" t="n">
        <v>10</v>
      </c>
      <c r="I64" s="5" t="n">
        <v>14</v>
      </c>
      <c r="J64" s="6" t="n">
        <v>20</v>
      </c>
      <c r="K64" s="7" t="n">
        <v>33</v>
      </c>
      <c r="L64" s="8" t="n">
        <v>41</v>
      </c>
      <c r="M64" s="12" t="n">
        <v>28</v>
      </c>
      <c r="N64" s="15" t="n">
        <f aca="false">SUMPRODUCT(COUNTIF(G64:L64,번호조회!$B$4:$B$9))</f>
        <v>0</v>
      </c>
    </row>
    <row r="65" customFormat="false" ht="16.5" hidden="false" customHeight="true" outlineLevel="0" collapsed="false">
      <c r="E65" s="1" t="n">
        <f aca="false">$E$13-($F$13-F65)*7</f>
        <v>45850</v>
      </c>
      <c r="F65" s="12" t="n">
        <v>1180</v>
      </c>
      <c r="G65" s="3" t="n">
        <v>6</v>
      </c>
      <c r="H65" s="4" t="n">
        <v>12</v>
      </c>
      <c r="I65" s="5" t="n">
        <v>18</v>
      </c>
      <c r="J65" s="6" t="n">
        <v>37</v>
      </c>
      <c r="K65" s="7" t="n">
        <v>40</v>
      </c>
      <c r="L65" s="8" t="n">
        <v>41</v>
      </c>
      <c r="M65" s="12" t="n">
        <v>3</v>
      </c>
      <c r="N65" s="15" t="n">
        <f aca="false">SUMPRODUCT(COUNTIF(G65:L65,번호조회!$B$4:$B$9))</f>
        <v>0</v>
      </c>
    </row>
    <row r="66" customFormat="false" ht="16.5" hidden="false" customHeight="true" outlineLevel="0" collapsed="false">
      <c r="E66" s="1" t="n">
        <f aca="false">$E$13-($F$13-F66)*7</f>
        <v>45843</v>
      </c>
      <c r="F66" s="12" t="n">
        <v>1179</v>
      </c>
      <c r="G66" s="3" t="n">
        <v>3</v>
      </c>
      <c r="H66" s="4" t="n">
        <v>16</v>
      </c>
      <c r="I66" s="5" t="n">
        <v>18</v>
      </c>
      <c r="J66" s="6" t="n">
        <v>24</v>
      </c>
      <c r="K66" s="7" t="n">
        <v>40</v>
      </c>
      <c r="L66" s="8" t="n">
        <v>44</v>
      </c>
      <c r="M66" s="12" t="n">
        <v>21</v>
      </c>
      <c r="N66" s="15" t="n">
        <f aca="false">SUMPRODUCT(COUNTIF(G66:L66,번호조회!$B$4:$B$9))</f>
        <v>0</v>
      </c>
    </row>
    <row r="67" customFormat="false" ht="16.5" hidden="false" customHeight="true" outlineLevel="0" collapsed="false">
      <c r="E67" s="1" t="n">
        <f aca="false">$E$13-($F$13-F67)*7</f>
        <v>45836</v>
      </c>
      <c r="F67" s="12" t="n">
        <v>1178</v>
      </c>
      <c r="G67" s="3" t="n">
        <v>5</v>
      </c>
      <c r="H67" s="4" t="n">
        <v>6</v>
      </c>
      <c r="I67" s="5" t="n">
        <v>11</v>
      </c>
      <c r="J67" s="6" t="n">
        <v>27</v>
      </c>
      <c r="K67" s="7" t="n">
        <v>43</v>
      </c>
      <c r="L67" s="8" t="n">
        <v>44</v>
      </c>
      <c r="M67" s="12" t="n">
        <v>17</v>
      </c>
      <c r="N67" s="15" t="n">
        <f aca="false">SUMPRODUCT(COUNTIF(G67:L67,번호조회!$B$4:$B$9))</f>
        <v>0</v>
      </c>
    </row>
    <row r="68" customFormat="false" ht="16.5" hidden="false" customHeight="true" outlineLevel="0" collapsed="false">
      <c r="E68" s="1" t="n">
        <f aca="false">$E$13-($F$13-F68)*7</f>
        <v>45829</v>
      </c>
      <c r="F68" s="12" t="n">
        <v>1177</v>
      </c>
      <c r="G68" s="3" t="n">
        <v>3</v>
      </c>
      <c r="H68" s="4" t="n">
        <v>7</v>
      </c>
      <c r="I68" s="5" t="n">
        <v>15</v>
      </c>
      <c r="J68" s="6" t="n">
        <v>16</v>
      </c>
      <c r="K68" s="7" t="n">
        <v>19</v>
      </c>
      <c r="L68" s="8" t="n">
        <v>43</v>
      </c>
      <c r="M68" s="12" t="n">
        <v>21</v>
      </c>
      <c r="N68" s="15" t="n">
        <f aca="false">SUMPRODUCT(COUNTIF(G68:L68,번호조회!$B$4:$B$9))</f>
        <v>0</v>
      </c>
    </row>
    <row r="69" customFormat="false" ht="16.5" hidden="false" customHeight="true" outlineLevel="0" collapsed="false">
      <c r="E69" s="1" t="n">
        <f aca="false">$E$13-($F$13-F69)*7</f>
        <v>45822</v>
      </c>
      <c r="F69" s="12" t="n">
        <v>1176</v>
      </c>
      <c r="G69" s="3" t="n">
        <v>7</v>
      </c>
      <c r="H69" s="4" t="n">
        <v>9</v>
      </c>
      <c r="I69" s="5" t="n">
        <v>11</v>
      </c>
      <c r="J69" s="6" t="n">
        <v>21</v>
      </c>
      <c r="K69" s="7" t="n">
        <v>30</v>
      </c>
      <c r="L69" s="8" t="n">
        <v>35</v>
      </c>
      <c r="M69" s="12" t="n">
        <v>29</v>
      </c>
      <c r="N69" s="15" t="n">
        <f aca="false">SUMPRODUCT(COUNTIF(G69:L69,번호조회!$B$4:$B$9))</f>
        <v>0</v>
      </c>
    </row>
    <row r="70" customFormat="false" ht="16.5" hidden="false" customHeight="true" outlineLevel="0" collapsed="false">
      <c r="E70" s="1" t="n">
        <f aca="false">$E$13-($F$13-F70)*7</f>
        <v>45815</v>
      </c>
      <c r="F70" s="12" t="n">
        <v>1175</v>
      </c>
      <c r="G70" s="3" t="n">
        <v>3</v>
      </c>
      <c r="H70" s="4" t="n">
        <v>4</v>
      </c>
      <c r="I70" s="5" t="n">
        <v>6</v>
      </c>
      <c r="J70" s="6" t="n">
        <v>8</v>
      </c>
      <c r="K70" s="7" t="n">
        <v>32</v>
      </c>
      <c r="L70" s="8" t="n">
        <v>42</v>
      </c>
      <c r="M70" s="12" t="n">
        <v>31</v>
      </c>
      <c r="N70" s="15" t="n">
        <f aca="false">SUMPRODUCT(COUNTIF(G70:L70,번호조회!$B$4:$B$9))</f>
        <v>0</v>
      </c>
    </row>
    <row r="71" customFormat="false" ht="16.5" hidden="false" customHeight="true" outlineLevel="0" collapsed="false">
      <c r="E71" s="1" t="n">
        <f aca="false">$E$13-($F$13-F71)*7</f>
        <v>45808</v>
      </c>
      <c r="F71" s="12" t="n">
        <v>1174</v>
      </c>
      <c r="G71" s="3" t="n">
        <v>8</v>
      </c>
      <c r="H71" s="4" t="n">
        <v>11</v>
      </c>
      <c r="I71" s="5" t="n">
        <v>14</v>
      </c>
      <c r="J71" s="6" t="n">
        <v>17</v>
      </c>
      <c r="K71" s="7" t="n">
        <v>36</v>
      </c>
      <c r="L71" s="8" t="n">
        <v>39</v>
      </c>
      <c r="M71" s="12" t="n">
        <v>22</v>
      </c>
      <c r="N71" s="15" t="n">
        <f aca="false">SUMPRODUCT(COUNTIF(G71:L71,번호조회!$B$4:$B$9))</f>
        <v>0</v>
      </c>
    </row>
    <row r="72" customFormat="false" ht="16.5" hidden="false" customHeight="true" outlineLevel="0" collapsed="false">
      <c r="E72" s="1" t="n">
        <f aca="false">$E$13-($F$13-F72)*7</f>
        <v>45801</v>
      </c>
      <c r="F72" s="12" t="n">
        <v>1173</v>
      </c>
      <c r="G72" s="3" t="n">
        <v>1</v>
      </c>
      <c r="H72" s="4" t="n">
        <v>5</v>
      </c>
      <c r="I72" s="5" t="n">
        <v>18</v>
      </c>
      <c r="J72" s="6" t="n">
        <v>20</v>
      </c>
      <c r="K72" s="7" t="n">
        <v>30</v>
      </c>
      <c r="L72" s="8" t="n">
        <v>35</v>
      </c>
      <c r="M72" s="12" t="n">
        <v>3</v>
      </c>
      <c r="N72" s="15" t="n">
        <f aca="false">SUMPRODUCT(COUNTIF(G72:L72,번호조회!$B$4:$B$9))</f>
        <v>0</v>
      </c>
    </row>
    <row r="73" customFormat="false" ht="16.5" hidden="false" customHeight="true" outlineLevel="0" collapsed="false">
      <c r="E73" s="1" t="n">
        <f aca="false">$E$13-($F$13-F73)*7</f>
        <v>45794</v>
      </c>
      <c r="F73" s="12" t="n">
        <v>1172</v>
      </c>
      <c r="G73" s="3" t="n">
        <v>7</v>
      </c>
      <c r="H73" s="4" t="n">
        <v>9</v>
      </c>
      <c r="I73" s="5" t="n">
        <v>24</v>
      </c>
      <c r="J73" s="6" t="n">
        <v>40</v>
      </c>
      <c r="K73" s="7" t="n">
        <v>42</v>
      </c>
      <c r="L73" s="8" t="n">
        <v>44</v>
      </c>
      <c r="M73" s="12" t="n">
        <v>45</v>
      </c>
      <c r="N73" s="15" t="n">
        <f aca="false">SUMPRODUCT(COUNTIF(G73:L73,번호조회!$B$4:$B$9))</f>
        <v>0</v>
      </c>
    </row>
    <row r="74" customFormat="false" ht="16.5" hidden="false" customHeight="true" outlineLevel="0" collapsed="false">
      <c r="E74" s="1" t="n">
        <f aca="false">$E$13-($F$13-F74)*7</f>
        <v>45787</v>
      </c>
      <c r="F74" s="12" t="n">
        <v>1171</v>
      </c>
      <c r="G74" s="3" t="n">
        <v>3</v>
      </c>
      <c r="H74" s="4" t="n">
        <v>6</v>
      </c>
      <c r="I74" s="5" t="n">
        <v>7</v>
      </c>
      <c r="J74" s="6" t="n">
        <v>11</v>
      </c>
      <c r="K74" s="7" t="n">
        <v>12</v>
      </c>
      <c r="L74" s="8" t="n">
        <v>17</v>
      </c>
      <c r="M74" s="12" t="n">
        <v>19</v>
      </c>
      <c r="N74" s="15" t="n">
        <f aca="false">SUMPRODUCT(COUNTIF(G74:L74,번호조회!$B$4:$B$9))</f>
        <v>0</v>
      </c>
    </row>
    <row r="75" customFormat="false" ht="16.5" hidden="false" customHeight="true" outlineLevel="0" collapsed="false">
      <c r="E75" s="1" t="n">
        <f aca="false">$E$13-($F$13-F75)*7</f>
        <v>45780</v>
      </c>
      <c r="F75" s="12" t="n">
        <v>1170</v>
      </c>
      <c r="G75" s="3" t="n">
        <v>3</v>
      </c>
      <c r="H75" s="4" t="n">
        <v>13</v>
      </c>
      <c r="I75" s="5" t="n">
        <v>28</v>
      </c>
      <c r="J75" s="6" t="n">
        <v>34</v>
      </c>
      <c r="K75" s="7" t="n">
        <v>38</v>
      </c>
      <c r="L75" s="8" t="n">
        <v>42</v>
      </c>
      <c r="M75" s="12" t="n">
        <v>25</v>
      </c>
      <c r="N75" s="15" t="n">
        <f aca="false">SUMPRODUCT(COUNTIF(G75:L75,번호조회!$B$4:$B$9))</f>
        <v>0</v>
      </c>
    </row>
    <row r="76" customFormat="false" ht="16.5" hidden="false" customHeight="true" outlineLevel="0" collapsed="false">
      <c r="E76" s="1" t="n">
        <f aca="false">$E$13-($F$13-F76)*7</f>
        <v>45773</v>
      </c>
      <c r="F76" s="12" t="n">
        <v>1169</v>
      </c>
      <c r="G76" s="3" t="n">
        <v>5</v>
      </c>
      <c r="H76" s="4" t="n">
        <v>12</v>
      </c>
      <c r="I76" s="5" t="n">
        <v>24</v>
      </c>
      <c r="J76" s="6" t="n">
        <v>26</v>
      </c>
      <c r="K76" s="7" t="n">
        <v>39</v>
      </c>
      <c r="L76" s="8" t="n">
        <v>42</v>
      </c>
      <c r="M76" s="12" t="n">
        <v>20</v>
      </c>
      <c r="N76" s="15" t="n">
        <f aca="false">SUMPRODUCT(COUNTIF(G76:L76,번호조회!$B$4:$B$9))</f>
        <v>0</v>
      </c>
    </row>
    <row r="77" customFormat="false" ht="16.5" hidden="false" customHeight="true" outlineLevel="0" collapsed="false">
      <c r="E77" s="1" t="n">
        <f aca="false">$E$13-($F$13-F77)*7</f>
        <v>45766</v>
      </c>
      <c r="F77" s="12" t="n">
        <v>1168</v>
      </c>
      <c r="G77" s="3" t="n">
        <v>9</v>
      </c>
      <c r="H77" s="4" t="n">
        <v>21</v>
      </c>
      <c r="I77" s="5" t="n">
        <v>24</v>
      </c>
      <c r="J77" s="6" t="n">
        <v>30</v>
      </c>
      <c r="K77" s="7" t="n">
        <v>33</v>
      </c>
      <c r="L77" s="8" t="n">
        <v>37</v>
      </c>
      <c r="M77" s="12" t="n">
        <v>29</v>
      </c>
      <c r="N77" s="15" t="n">
        <f aca="false">SUMPRODUCT(COUNTIF(G77:L77,번호조회!$B$4:$B$9))</f>
        <v>0</v>
      </c>
    </row>
    <row r="78" customFormat="false" ht="16.5" hidden="false" customHeight="true" outlineLevel="0" collapsed="false">
      <c r="E78" s="1" t="n">
        <f aca="false">$E$13-($F$13-F78)*7</f>
        <v>45759</v>
      </c>
      <c r="F78" s="12" t="n">
        <v>1167</v>
      </c>
      <c r="G78" s="3" t="n">
        <v>8</v>
      </c>
      <c r="H78" s="4" t="n">
        <v>23</v>
      </c>
      <c r="I78" s="5" t="n">
        <v>31</v>
      </c>
      <c r="J78" s="6" t="n">
        <v>35</v>
      </c>
      <c r="K78" s="7" t="n">
        <v>39</v>
      </c>
      <c r="L78" s="8" t="n">
        <v>40</v>
      </c>
      <c r="M78" s="12" t="n">
        <v>24</v>
      </c>
      <c r="N78" s="15" t="n">
        <f aca="false">SUMPRODUCT(COUNTIF(G78:L78,번호조회!$B$4:$B$9))</f>
        <v>0</v>
      </c>
    </row>
    <row r="79" customFormat="false" ht="16.5" hidden="false" customHeight="true" outlineLevel="0" collapsed="false">
      <c r="E79" s="1" t="n">
        <f aca="false">$E$13-($F$13-F79)*7</f>
        <v>45752</v>
      </c>
      <c r="F79" s="12" t="n">
        <v>1166</v>
      </c>
      <c r="G79" s="3" t="n">
        <v>14</v>
      </c>
      <c r="H79" s="4" t="n">
        <v>23</v>
      </c>
      <c r="I79" s="5" t="n">
        <v>25</v>
      </c>
      <c r="J79" s="6" t="n">
        <v>27</v>
      </c>
      <c r="K79" s="7" t="n">
        <v>29</v>
      </c>
      <c r="L79" s="8" t="n">
        <v>42</v>
      </c>
      <c r="M79" s="12" t="n">
        <v>16</v>
      </c>
      <c r="N79" s="15" t="n">
        <f aca="false">SUMPRODUCT(COUNTIF(G79:L79,번호조회!$B$4:$B$9))</f>
        <v>0</v>
      </c>
    </row>
    <row r="80" customFormat="false" ht="16.5" hidden="false" customHeight="true" outlineLevel="0" collapsed="false">
      <c r="E80" s="1" t="n">
        <f aca="false">$E$13-($F$13-F80)*7</f>
        <v>45745</v>
      </c>
      <c r="F80" s="12" t="n">
        <v>1165</v>
      </c>
      <c r="G80" s="3" t="n">
        <v>6</v>
      </c>
      <c r="H80" s="4" t="n">
        <v>7</v>
      </c>
      <c r="I80" s="5" t="n">
        <v>27</v>
      </c>
      <c r="J80" s="6" t="n">
        <v>29</v>
      </c>
      <c r="K80" s="7" t="n">
        <v>38</v>
      </c>
      <c r="L80" s="8" t="n">
        <v>45</v>
      </c>
      <c r="M80" s="12" t="n">
        <v>17</v>
      </c>
      <c r="N80" s="15" t="n">
        <f aca="false">SUMPRODUCT(COUNTIF(G80:L80,번호조회!$B$4:$B$9))</f>
        <v>0</v>
      </c>
    </row>
    <row r="81" customFormat="false" ht="16.5" hidden="false" customHeight="true" outlineLevel="0" collapsed="false">
      <c r="E81" s="1" t="n">
        <f aca="false">$E$13-($F$13-F81)*7</f>
        <v>45738</v>
      </c>
      <c r="F81" s="12" t="n">
        <v>1164</v>
      </c>
      <c r="G81" s="3" t="n">
        <v>17</v>
      </c>
      <c r="H81" s="4" t="n">
        <v>18</v>
      </c>
      <c r="I81" s="5" t="n">
        <v>23</v>
      </c>
      <c r="J81" s="6" t="n">
        <v>25</v>
      </c>
      <c r="K81" s="7" t="n">
        <v>38</v>
      </c>
      <c r="L81" s="8" t="n">
        <v>39</v>
      </c>
      <c r="M81" s="12" t="n">
        <v>22</v>
      </c>
      <c r="N81" s="15" t="n">
        <f aca="false">SUMPRODUCT(COUNTIF(G81:L81,번호조회!$B$4:$B$9))</f>
        <v>0</v>
      </c>
    </row>
    <row r="82" customFormat="false" ht="16.5" hidden="false" customHeight="true" outlineLevel="0" collapsed="false">
      <c r="E82" s="1" t="n">
        <f aca="false">$E$13-($F$13-F82)*7</f>
        <v>45731</v>
      </c>
      <c r="F82" s="12" t="n">
        <v>1163</v>
      </c>
      <c r="G82" s="16" t="n">
        <v>2</v>
      </c>
      <c r="H82" s="17" t="n">
        <v>13</v>
      </c>
      <c r="I82" s="18" t="n">
        <v>15</v>
      </c>
      <c r="J82" s="19" t="n">
        <v>16</v>
      </c>
      <c r="K82" s="20" t="n">
        <v>33</v>
      </c>
      <c r="L82" s="21" t="n">
        <v>43</v>
      </c>
      <c r="M82" s="22" t="n">
        <v>4</v>
      </c>
      <c r="N82" s="15" t="n">
        <f aca="false">SUMPRODUCT(COUNTIF(G82:L82,번호조회!$B$4:$B$9))</f>
        <v>0</v>
      </c>
    </row>
    <row r="83" customFormat="false" ht="16.5" hidden="false" customHeight="true" outlineLevel="0" collapsed="false">
      <c r="E83" s="1" t="n">
        <f aca="false">$E$13-($F$13-F83)*7</f>
        <v>45724</v>
      </c>
      <c r="F83" s="12" t="n">
        <v>1162</v>
      </c>
      <c r="G83" s="16" t="n">
        <v>20</v>
      </c>
      <c r="H83" s="17" t="n">
        <v>21</v>
      </c>
      <c r="I83" s="18" t="n">
        <v>22</v>
      </c>
      <c r="J83" s="19" t="n">
        <v>25</v>
      </c>
      <c r="K83" s="20" t="n">
        <v>28</v>
      </c>
      <c r="L83" s="21" t="n">
        <v>29</v>
      </c>
      <c r="M83" s="22" t="n">
        <v>6</v>
      </c>
      <c r="N83" s="15" t="n">
        <f aca="false">SUMPRODUCT(COUNTIF(G83:L83,번호조회!$B$4:$B$9))</f>
        <v>0</v>
      </c>
    </row>
    <row r="84" customFormat="false" ht="16.5" hidden="false" customHeight="true" outlineLevel="0" collapsed="false">
      <c r="E84" s="1" t="n">
        <f aca="false">$E$13-($F$13-F84)*7</f>
        <v>45717</v>
      </c>
      <c r="F84" s="12" t="n">
        <v>1161</v>
      </c>
      <c r="G84" s="16" t="n">
        <v>2</v>
      </c>
      <c r="H84" s="17" t="n">
        <v>12</v>
      </c>
      <c r="I84" s="18" t="n">
        <v>20</v>
      </c>
      <c r="J84" s="19" t="n">
        <v>24</v>
      </c>
      <c r="K84" s="20" t="n">
        <v>34</v>
      </c>
      <c r="L84" s="21" t="n">
        <v>42</v>
      </c>
      <c r="M84" s="22" t="n">
        <v>37</v>
      </c>
      <c r="N84" s="15" t="n">
        <f aca="false">SUMPRODUCT(COUNTIF(G84:L84,번호조회!$B$4:$B$9))</f>
        <v>0</v>
      </c>
    </row>
    <row r="85" customFormat="false" ht="16.5" hidden="false" customHeight="true" outlineLevel="0" collapsed="false">
      <c r="E85" s="1" t="n">
        <f aca="false">$E$13-($F$13-F85)*7</f>
        <v>45710</v>
      </c>
      <c r="F85" s="12" t="n">
        <v>1160</v>
      </c>
      <c r="G85" s="16" t="n">
        <v>7</v>
      </c>
      <c r="H85" s="17" t="n">
        <v>13</v>
      </c>
      <c r="I85" s="18" t="n">
        <v>18</v>
      </c>
      <c r="J85" s="19" t="n">
        <v>36</v>
      </c>
      <c r="K85" s="20" t="n">
        <v>39</v>
      </c>
      <c r="L85" s="21" t="n">
        <v>45</v>
      </c>
      <c r="M85" s="22" t="n">
        <v>19</v>
      </c>
      <c r="N85" s="15" t="n">
        <f aca="false">SUMPRODUCT(COUNTIF(G85:L85,번호조회!$B$4:$B$9))</f>
        <v>0</v>
      </c>
    </row>
    <row r="86" customFormat="false" ht="16.5" hidden="false" customHeight="true" outlineLevel="0" collapsed="false">
      <c r="E86" s="1" t="n">
        <f aca="false">$E$13-($F$13-F86)*7</f>
        <v>45703</v>
      </c>
      <c r="F86" s="12" t="n">
        <v>1159</v>
      </c>
      <c r="G86" s="16" t="n">
        <v>3</v>
      </c>
      <c r="H86" s="17" t="n">
        <v>9</v>
      </c>
      <c r="I86" s="18" t="n">
        <v>27</v>
      </c>
      <c r="J86" s="19" t="n">
        <v>28</v>
      </c>
      <c r="K86" s="20" t="n">
        <v>38</v>
      </c>
      <c r="L86" s="21" t="n">
        <v>39</v>
      </c>
      <c r="M86" s="22" t="n">
        <v>7</v>
      </c>
      <c r="N86" s="15" t="n">
        <f aca="false">SUMPRODUCT(COUNTIF(G86:L86,번호조회!$B$4:$B$9))</f>
        <v>0</v>
      </c>
    </row>
    <row r="87" customFormat="false" ht="16.5" hidden="false" customHeight="true" outlineLevel="0" collapsed="false">
      <c r="E87" s="1" t="n">
        <f aca="false">$E$13-($F$13-F87)*7</f>
        <v>45696</v>
      </c>
      <c r="F87" s="12" t="n">
        <v>1158</v>
      </c>
      <c r="G87" s="16" t="n">
        <v>21</v>
      </c>
      <c r="H87" s="17" t="n">
        <v>25</v>
      </c>
      <c r="I87" s="18" t="n">
        <v>27</v>
      </c>
      <c r="J87" s="19" t="n">
        <v>32</v>
      </c>
      <c r="K87" s="20" t="n">
        <v>37</v>
      </c>
      <c r="L87" s="21" t="n">
        <v>38</v>
      </c>
      <c r="M87" s="22" t="n">
        <v>20</v>
      </c>
      <c r="N87" s="15" t="n">
        <f aca="false">SUMPRODUCT(COUNTIF(G87:L87,번호조회!$B$4:$B$9))</f>
        <v>0</v>
      </c>
    </row>
    <row r="88" customFormat="false" ht="16.5" hidden="false" customHeight="true" outlineLevel="0" collapsed="false">
      <c r="E88" s="1" t="n">
        <f aca="false">$E$13-($F$13-F88)*7</f>
        <v>45689</v>
      </c>
      <c r="F88" s="12" t="n">
        <v>1157</v>
      </c>
      <c r="G88" s="16" t="n">
        <v>5</v>
      </c>
      <c r="H88" s="17" t="n">
        <v>7</v>
      </c>
      <c r="I88" s="18" t="n">
        <v>12</v>
      </c>
      <c r="J88" s="19" t="n">
        <v>20</v>
      </c>
      <c r="K88" s="20" t="n">
        <v>25</v>
      </c>
      <c r="L88" s="21" t="n">
        <v>26</v>
      </c>
      <c r="M88" s="22" t="n">
        <v>28</v>
      </c>
      <c r="N88" s="15" t="n">
        <f aca="false">SUMPRODUCT(COUNTIF(G88:L88,번호조회!$B$4:$B$9))</f>
        <v>0</v>
      </c>
    </row>
    <row r="89" customFormat="false" ht="16.5" hidden="false" customHeight="true" outlineLevel="0" collapsed="false">
      <c r="E89" s="1" t="n">
        <f aca="false">$E$13-($F$13-F89)*7</f>
        <v>45682</v>
      </c>
      <c r="F89" s="12" t="n">
        <v>1156</v>
      </c>
      <c r="G89" s="16" t="n">
        <v>30</v>
      </c>
      <c r="H89" s="17" t="n">
        <v>31</v>
      </c>
      <c r="I89" s="18" t="n">
        <v>34</v>
      </c>
      <c r="J89" s="19" t="n">
        <v>39</v>
      </c>
      <c r="K89" s="20" t="n">
        <v>41</v>
      </c>
      <c r="L89" s="21" t="n">
        <v>45</v>
      </c>
      <c r="M89" s="22" t="n">
        <v>7</v>
      </c>
      <c r="N89" s="15" t="n">
        <f aca="false">SUMPRODUCT(COUNTIF(G89:L89,번호조회!$B$4:$B$9))</f>
        <v>0</v>
      </c>
    </row>
    <row r="90" customFormat="false" ht="16.5" hidden="false" customHeight="true" outlineLevel="0" collapsed="false">
      <c r="E90" s="1" t="n">
        <f aca="false">$E$13-($F$13-F90)*7</f>
        <v>45675</v>
      </c>
      <c r="F90" s="12" t="n">
        <v>1155</v>
      </c>
      <c r="G90" s="16" t="n">
        <v>10</v>
      </c>
      <c r="H90" s="17" t="n">
        <v>16</v>
      </c>
      <c r="I90" s="18" t="n">
        <v>19</v>
      </c>
      <c r="J90" s="19" t="n">
        <v>27</v>
      </c>
      <c r="K90" s="20" t="n">
        <v>37</v>
      </c>
      <c r="L90" s="21" t="n">
        <v>38</v>
      </c>
      <c r="M90" s="22" t="n">
        <v>13</v>
      </c>
      <c r="N90" s="15" t="n">
        <f aca="false">SUMPRODUCT(COUNTIF(G90:L90,번호조회!$B$4:$B$9))</f>
        <v>0</v>
      </c>
    </row>
    <row r="91" customFormat="false" ht="16.5" hidden="false" customHeight="true" outlineLevel="0" collapsed="false">
      <c r="E91" s="1" t="n">
        <f aca="false">$E$13-($F$13-F91)*7</f>
        <v>45668</v>
      </c>
      <c r="F91" s="12" t="n">
        <v>1154</v>
      </c>
      <c r="G91" s="16" t="n">
        <v>4</v>
      </c>
      <c r="H91" s="17" t="n">
        <v>8</v>
      </c>
      <c r="I91" s="18" t="n">
        <v>22</v>
      </c>
      <c r="J91" s="19" t="n">
        <v>26</v>
      </c>
      <c r="K91" s="20" t="n">
        <v>32</v>
      </c>
      <c r="L91" s="21" t="n">
        <v>38</v>
      </c>
      <c r="M91" s="22" t="n">
        <v>27</v>
      </c>
      <c r="N91" s="15" t="n">
        <f aca="false">SUMPRODUCT(COUNTIF(G91:L91,번호조회!$B$4:$B$9))</f>
        <v>0</v>
      </c>
    </row>
    <row r="92" customFormat="false" ht="16.5" hidden="false" customHeight="true" outlineLevel="0" collapsed="false">
      <c r="E92" s="1" t="n">
        <f aca="false">$E$13-($F$13-F92)*7</f>
        <v>45661</v>
      </c>
      <c r="F92" s="12" t="n">
        <v>1153</v>
      </c>
      <c r="G92" s="16" t="n">
        <v>1</v>
      </c>
      <c r="H92" s="17" t="n">
        <v>9</v>
      </c>
      <c r="I92" s="18" t="n">
        <v>10</v>
      </c>
      <c r="J92" s="19" t="n">
        <v>13</v>
      </c>
      <c r="K92" s="20" t="n">
        <v>35</v>
      </c>
      <c r="L92" s="21" t="n">
        <v>44</v>
      </c>
      <c r="M92" s="22" t="n">
        <v>5</v>
      </c>
      <c r="N92" s="15" t="n">
        <f aca="false">SUMPRODUCT(COUNTIF(G92:L92,번호조회!$B$4:$B$9))</f>
        <v>0</v>
      </c>
    </row>
    <row r="93" customFormat="false" ht="16.5" hidden="false" customHeight="true" outlineLevel="0" collapsed="false">
      <c r="E93" s="1" t="n">
        <f aca="false">$E$13-($F$13-F93)*7</f>
        <v>45654</v>
      </c>
      <c r="F93" s="12" t="n">
        <v>1152</v>
      </c>
      <c r="G93" s="16" t="n">
        <v>30</v>
      </c>
      <c r="H93" s="17" t="n">
        <v>31</v>
      </c>
      <c r="I93" s="18" t="n">
        <v>32</v>
      </c>
      <c r="J93" s="19" t="n">
        <v>35</v>
      </c>
      <c r="K93" s="20" t="n">
        <v>36</v>
      </c>
      <c r="L93" s="21" t="n">
        <v>37</v>
      </c>
      <c r="M93" s="22" t="n">
        <v>5</v>
      </c>
      <c r="N93" s="15" t="n">
        <f aca="false">SUMPRODUCT(COUNTIF(G93:L93,번호조회!$B$4:$B$9))</f>
        <v>0</v>
      </c>
    </row>
    <row r="94" customFormat="false" ht="16.5" hidden="false" customHeight="true" outlineLevel="0" collapsed="false">
      <c r="E94" s="1" t="n">
        <f aca="false">$E$13-($F$13-F94)*7</f>
        <v>45647</v>
      </c>
      <c r="F94" s="12" t="n">
        <v>1151</v>
      </c>
      <c r="G94" s="16" t="n">
        <v>2</v>
      </c>
      <c r="H94" s="17" t="n">
        <v>3</v>
      </c>
      <c r="I94" s="18" t="n">
        <v>9</v>
      </c>
      <c r="J94" s="19" t="n">
        <v>15</v>
      </c>
      <c r="K94" s="20" t="n">
        <v>27</v>
      </c>
      <c r="L94" s="21" t="n">
        <v>29</v>
      </c>
      <c r="M94" s="22" t="n">
        <v>8</v>
      </c>
      <c r="N94" s="15" t="n">
        <f aca="false">SUMPRODUCT(COUNTIF(G94:L94,번호조회!$B$4:$B$9))</f>
        <v>0</v>
      </c>
    </row>
    <row r="95" customFormat="false" ht="16.5" hidden="false" customHeight="true" outlineLevel="0" collapsed="false">
      <c r="E95" s="1" t="n">
        <f aca="false">$E$13-($F$13-F95)*7</f>
        <v>45640</v>
      </c>
      <c r="F95" s="12" t="n">
        <v>1150</v>
      </c>
      <c r="G95" s="16" t="n">
        <v>8</v>
      </c>
      <c r="H95" s="17" t="n">
        <v>9</v>
      </c>
      <c r="I95" s="18" t="n">
        <v>18</v>
      </c>
      <c r="J95" s="19" t="n">
        <v>35</v>
      </c>
      <c r="K95" s="20" t="n">
        <v>39</v>
      </c>
      <c r="L95" s="21" t="n">
        <v>45</v>
      </c>
      <c r="M95" s="22" t="n">
        <v>25</v>
      </c>
      <c r="N95" s="15" t="n">
        <f aca="false">SUMPRODUCT(COUNTIF(G95:L95,번호조회!$B$4:$B$9))</f>
        <v>0</v>
      </c>
    </row>
    <row r="96" customFormat="false" ht="16.5" hidden="false" customHeight="true" outlineLevel="0" collapsed="false">
      <c r="E96" s="1" t="n">
        <f aca="false">$E$13-($F$13-F96)*7</f>
        <v>45633</v>
      </c>
      <c r="F96" s="12" t="n">
        <v>1149</v>
      </c>
      <c r="G96" s="16" t="n">
        <v>8</v>
      </c>
      <c r="H96" s="17" t="n">
        <v>15</v>
      </c>
      <c r="I96" s="18" t="n">
        <v>19</v>
      </c>
      <c r="J96" s="19" t="n">
        <v>21</v>
      </c>
      <c r="K96" s="20" t="n">
        <v>32</v>
      </c>
      <c r="L96" s="21" t="n">
        <v>36</v>
      </c>
      <c r="M96" s="22" t="n">
        <v>38</v>
      </c>
      <c r="N96" s="15" t="n">
        <f aca="false">SUMPRODUCT(COUNTIF(G96:L96,번호조회!$B$4:$B$9))</f>
        <v>0</v>
      </c>
    </row>
    <row r="97" customFormat="false" ht="16.5" hidden="false" customHeight="true" outlineLevel="0" collapsed="false">
      <c r="E97" s="1" t="n">
        <f aca="false">$E$13-($F$13-F97)*7</f>
        <v>45626</v>
      </c>
      <c r="F97" s="12" t="n">
        <v>1148</v>
      </c>
      <c r="G97" s="16" t="n">
        <v>3</v>
      </c>
      <c r="H97" s="17" t="n">
        <v>6</v>
      </c>
      <c r="I97" s="18" t="n">
        <v>13</v>
      </c>
      <c r="J97" s="19" t="n">
        <v>15</v>
      </c>
      <c r="K97" s="20" t="n">
        <v>16</v>
      </c>
      <c r="L97" s="21" t="n">
        <v>22</v>
      </c>
      <c r="M97" s="22" t="n">
        <v>32</v>
      </c>
      <c r="N97" s="15" t="n">
        <f aca="false">SUMPRODUCT(COUNTIF(G97:L97,번호조회!$B$4:$B$9))</f>
        <v>0</v>
      </c>
    </row>
    <row r="98" customFormat="false" ht="16.5" hidden="false" customHeight="true" outlineLevel="0" collapsed="false">
      <c r="E98" s="1" t="n">
        <f aca="false">$E$13-($F$13-F98)*7</f>
        <v>45619</v>
      </c>
      <c r="F98" s="12" t="n">
        <v>1147</v>
      </c>
      <c r="G98" s="16" t="n">
        <v>7</v>
      </c>
      <c r="H98" s="17" t="n">
        <v>11</v>
      </c>
      <c r="I98" s="18" t="n">
        <v>24</v>
      </c>
      <c r="J98" s="19" t="n">
        <v>26</v>
      </c>
      <c r="K98" s="20" t="n">
        <v>27</v>
      </c>
      <c r="L98" s="21" t="n">
        <v>37</v>
      </c>
      <c r="M98" s="22" t="n">
        <v>32</v>
      </c>
      <c r="N98" s="15" t="n">
        <f aca="false">SUMPRODUCT(COUNTIF(G98:L98,번호조회!$B$4:$B$9))</f>
        <v>0</v>
      </c>
    </row>
    <row r="99" customFormat="false" ht="16.5" hidden="false" customHeight="true" outlineLevel="0" collapsed="false">
      <c r="E99" s="1" t="n">
        <f aca="false">$E$13-($F$13-F99)*7</f>
        <v>45612</v>
      </c>
      <c r="F99" s="12" t="n">
        <v>1146</v>
      </c>
      <c r="G99" s="16" t="n">
        <v>6</v>
      </c>
      <c r="H99" s="17" t="n">
        <v>11</v>
      </c>
      <c r="I99" s="18" t="n">
        <v>17</v>
      </c>
      <c r="J99" s="19" t="n">
        <v>19</v>
      </c>
      <c r="K99" s="20" t="n">
        <v>40</v>
      </c>
      <c r="L99" s="21" t="n">
        <v>43</v>
      </c>
      <c r="M99" s="22" t="n">
        <v>28</v>
      </c>
      <c r="N99" s="15" t="n">
        <f aca="false">SUMPRODUCT(COUNTIF(G99:L99,번호조회!$B$4:$B$9))</f>
        <v>0</v>
      </c>
    </row>
    <row r="100" customFormat="false" ht="16.5" hidden="false" customHeight="true" outlineLevel="0" collapsed="false">
      <c r="E100" s="1" t="n">
        <f aca="false">$E$13-($F$13-F100)*7</f>
        <v>45605</v>
      </c>
      <c r="F100" s="12" t="n">
        <v>1145</v>
      </c>
      <c r="G100" s="16" t="n">
        <v>2</v>
      </c>
      <c r="H100" s="17" t="n">
        <v>11</v>
      </c>
      <c r="I100" s="18" t="n">
        <v>31</v>
      </c>
      <c r="J100" s="19" t="n">
        <v>33</v>
      </c>
      <c r="K100" s="20" t="n">
        <v>37</v>
      </c>
      <c r="L100" s="21" t="n">
        <v>44</v>
      </c>
      <c r="M100" s="22" t="n">
        <v>32</v>
      </c>
      <c r="N100" s="15" t="n">
        <f aca="false">SUMPRODUCT(COUNTIF(G100:L100,번호조회!$B$4:$B$9))</f>
        <v>0</v>
      </c>
    </row>
    <row r="101" customFormat="false" ht="16.5" hidden="false" customHeight="true" outlineLevel="0" collapsed="false">
      <c r="E101" s="1" t="n">
        <f aca="false">$E$13-($F$13-F101)*7</f>
        <v>45598</v>
      </c>
      <c r="F101" s="12" t="n">
        <v>1144</v>
      </c>
      <c r="G101" s="16" t="n">
        <v>3</v>
      </c>
      <c r="H101" s="17" t="n">
        <v>4</v>
      </c>
      <c r="I101" s="18" t="n">
        <v>12</v>
      </c>
      <c r="J101" s="19" t="n">
        <v>15</v>
      </c>
      <c r="K101" s="20" t="n">
        <v>26</v>
      </c>
      <c r="L101" s="21" t="n">
        <v>34</v>
      </c>
      <c r="M101" s="22" t="n">
        <v>6</v>
      </c>
      <c r="N101" s="15" t="n">
        <f aca="false">SUMPRODUCT(COUNTIF(G101:L101,번호조회!$B$4:$B$9))</f>
        <v>0</v>
      </c>
    </row>
    <row r="102" customFormat="false" ht="16.5" hidden="false" customHeight="true" outlineLevel="0" collapsed="false">
      <c r="E102" s="1" t="n">
        <f aca="false">$E$13-($F$13-F102)*7</f>
        <v>45591</v>
      </c>
      <c r="F102" s="12" t="n">
        <v>1143</v>
      </c>
      <c r="G102" s="16" t="n">
        <v>10</v>
      </c>
      <c r="H102" s="17" t="n">
        <v>16</v>
      </c>
      <c r="I102" s="18" t="n">
        <v>17</v>
      </c>
      <c r="J102" s="19" t="n">
        <v>27</v>
      </c>
      <c r="K102" s="20" t="n">
        <v>28</v>
      </c>
      <c r="L102" s="21" t="n">
        <v>36</v>
      </c>
      <c r="M102" s="22" t="n">
        <v>6</v>
      </c>
      <c r="N102" s="15" t="n">
        <f aca="false">SUMPRODUCT(COUNTIF(G102:L102,번호조회!$B$4:$B$9))</f>
        <v>0</v>
      </c>
    </row>
    <row r="103" customFormat="false" ht="16.5" hidden="false" customHeight="true" outlineLevel="0" collapsed="false">
      <c r="E103" s="1" t="n">
        <f aca="false">$E$13-($F$13-F103)*7</f>
        <v>45584</v>
      </c>
      <c r="F103" s="12" t="n">
        <v>1142</v>
      </c>
      <c r="G103" s="16" t="n">
        <v>2</v>
      </c>
      <c r="H103" s="17" t="n">
        <v>8</v>
      </c>
      <c r="I103" s="18" t="n">
        <v>28</v>
      </c>
      <c r="J103" s="19" t="n">
        <v>30</v>
      </c>
      <c r="K103" s="20" t="n">
        <v>37</v>
      </c>
      <c r="L103" s="21" t="n">
        <v>41</v>
      </c>
      <c r="M103" s="22" t="n">
        <v>22</v>
      </c>
      <c r="N103" s="15" t="n">
        <f aca="false">SUMPRODUCT(COUNTIF(G103:L103,번호조회!$B$4:$B$9))</f>
        <v>0</v>
      </c>
    </row>
    <row r="104" customFormat="false" ht="16.5" hidden="false" customHeight="true" outlineLevel="0" collapsed="false">
      <c r="E104" s="1" t="n">
        <f aca="false">$E$13-($F$13-F104)*7</f>
        <v>45577</v>
      </c>
      <c r="F104" s="12" t="n">
        <v>1141</v>
      </c>
      <c r="G104" s="16" t="n">
        <v>7</v>
      </c>
      <c r="H104" s="17" t="n">
        <v>11</v>
      </c>
      <c r="I104" s="18" t="n">
        <v>12</v>
      </c>
      <c r="J104" s="19" t="n">
        <v>21</v>
      </c>
      <c r="K104" s="20" t="n">
        <v>26</v>
      </c>
      <c r="L104" s="21" t="n">
        <v>35</v>
      </c>
      <c r="M104" s="22" t="n">
        <v>20</v>
      </c>
      <c r="N104" s="15" t="n">
        <f aca="false">SUMPRODUCT(COUNTIF(G104:L104,번호조회!$B$4:$B$9))</f>
        <v>0</v>
      </c>
    </row>
    <row r="105" customFormat="false" ht="16.5" hidden="false" customHeight="true" outlineLevel="0" collapsed="false">
      <c r="E105" s="1" t="n">
        <f aca="false">$E$13-($F$13-F105)*7</f>
        <v>45570</v>
      </c>
      <c r="F105" s="12" t="n">
        <v>1140</v>
      </c>
      <c r="G105" s="16" t="n">
        <v>7</v>
      </c>
      <c r="H105" s="17" t="n">
        <v>10</v>
      </c>
      <c r="I105" s="18" t="n">
        <v>22</v>
      </c>
      <c r="J105" s="19" t="n">
        <v>29</v>
      </c>
      <c r="K105" s="20" t="n">
        <v>31</v>
      </c>
      <c r="L105" s="21" t="n">
        <v>38</v>
      </c>
      <c r="M105" s="22" t="n">
        <v>15</v>
      </c>
      <c r="N105" s="15" t="n">
        <f aca="false">SUMPRODUCT(COUNTIF(G105:L105,번호조회!$B$4:$B$9))</f>
        <v>0</v>
      </c>
    </row>
    <row r="106" customFormat="false" ht="16.5" hidden="false" customHeight="true" outlineLevel="0" collapsed="false">
      <c r="E106" s="1" t="n">
        <f aca="false">$E$13-($F$13-F106)*7</f>
        <v>45563</v>
      </c>
      <c r="F106" s="12" t="n">
        <v>1139</v>
      </c>
      <c r="G106" s="16" t="n">
        <v>5</v>
      </c>
      <c r="H106" s="17" t="n">
        <v>12</v>
      </c>
      <c r="I106" s="18" t="n">
        <v>15</v>
      </c>
      <c r="J106" s="19" t="n">
        <v>30</v>
      </c>
      <c r="K106" s="20" t="n">
        <v>37</v>
      </c>
      <c r="L106" s="21" t="n">
        <v>40</v>
      </c>
      <c r="M106" s="22" t="n">
        <v>18</v>
      </c>
      <c r="N106" s="15" t="n">
        <f aca="false">SUMPRODUCT(COUNTIF(G106:L106,번호조회!$B$4:$B$9))</f>
        <v>0</v>
      </c>
    </row>
    <row r="107" customFormat="false" ht="16.5" hidden="false" customHeight="true" outlineLevel="0" collapsed="false">
      <c r="E107" s="1" t="n">
        <f aca="false">$E$13-($F$13-F107)*7</f>
        <v>45556</v>
      </c>
      <c r="F107" s="12" t="n">
        <v>1138</v>
      </c>
      <c r="G107" s="16" t="n">
        <v>14</v>
      </c>
      <c r="H107" s="17" t="n">
        <v>16</v>
      </c>
      <c r="I107" s="18" t="n">
        <v>19</v>
      </c>
      <c r="J107" s="19" t="n">
        <v>20</v>
      </c>
      <c r="K107" s="20" t="n">
        <v>29</v>
      </c>
      <c r="L107" s="21" t="n">
        <v>34</v>
      </c>
      <c r="M107" s="22" t="n">
        <v>35</v>
      </c>
      <c r="N107" s="15" t="n">
        <f aca="false">SUMPRODUCT(COUNTIF(G107:L107,번호조회!$B$4:$B$9))</f>
        <v>0</v>
      </c>
    </row>
    <row r="108" customFormat="false" ht="16.5" hidden="false" customHeight="true" outlineLevel="0" collapsed="false">
      <c r="E108" s="1" t="n">
        <f aca="false">$E$13-($F$13-F108)*7</f>
        <v>45549</v>
      </c>
      <c r="F108" s="12" t="n">
        <v>1137</v>
      </c>
      <c r="G108" s="16" t="n">
        <v>4</v>
      </c>
      <c r="H108" s="17" t="n">
        <v>9</v>
      </c>
      <c r="I108" s="18" t="n">
        <v>12</v>
      </c>
      <c r="J108" s="19" t="n">
        <v>15</v>
      </c>
      <c r="K108" s="20" t="n">
        <v>33</v>
      </c>
      <c r="L108" s="21" t="n">
        <v>45</v>
      </c>
      <c r="M108" s="22" t="n">
        <v>26</v>
      </c>
      <c r="N108" s="15" t="n">
        <f aca="false">SUMPRODUCT(COUNTIF(G108:L108,번호조회!$B$4:$B$9))</f>
        <v>0</v>
      </c>
    </row>
    <row r="109" customFormat="false" ht="16.5" hidden="false" customHeight="true" outlineLevel="0" collapsed="false">
      <c r="E109" s="1" t="n">
        <f aca="false">$E$13-($F$13-F109)*7</f>
        <v>45542</v>
      </c>
      <c r="F109" s="12" t="n">
        <v>1136</v>
      </c>
      <c r="G109" s="16" t="n">
        <v>21</v>
      </c>
      <c r="H109" s="17" t="n">
        <v>33</v>
      </c>
      <c r="I109" s="18" t="n">
        <v>35</v>
      </c>
      <c r="J109" s="19" t="n">
        <v>38</v>
      </c>
      <c r="K109" s="20" t="n">
        <v>42</v>
      </c>
      <c r="L109" s="21" t="n">
        <v>44</v>
      </c>
      <c r="M109" s="22" t="n">
        <v>1</v>
      </c>
      <c r="N109" s="15" t="n">
        <f aca="false">SUMPRODUCT(COUNTIF(G109:L109,번호조회!$B$4:$B$9))</f>
        <v>0</v>
      </c>
    </row>
    <row r="110" customFormat="false" ht="16.5" hidden="false" customHeight="true" outlineLevel="0" collapsed="false">
      <c r="E110" s="1" t="n">
        <f aca="false">$E$13-($F$13-F110)*7</f>
        <v>45535</v>
      </c>
      <c r="F110" s="12" t="n">
        <v>1135</v>
      </c>
      <c r="G110" s="16" t="n">
        <v>1</v>
      </c>
      <c r="H110" s="17" t="n">
        <v>6</v>
      </c>
      <c r="I110" s="18" t="n">
        <v>13</v>
      </c>
      <c r="J110" s="19" t="n">
        <v>19</v>
      </c>
      <c r="K110" s="20" t="n">
        <v>21</v>
      </c>
      <c r="L110" s="21" t="n">
        <v>33</v>
      </c>
      <c r="M110" s="22" t="n">
        <v>4</v>
      </c>
      <c r="N110" s="15" t="n">
        <f aca="false">SUMPRODUCT(COUNTIF(G110:L110,번호조회!$B$4:$B$9))</f>
        <v>0</v>
      </c>
    </row>
    <row r="111" customFormat="false" ht="16.5" hidden="false" customHeight="true" outlineLevel="0" collapsed="false">
      <c r="E111" s="1" t="n">
        <f aca="false">$E$13-($F$13-F111)*7</f>
        <v>45528</v>
      </c>
      <c r="F111" s="12" t="n">
        <v>1134</v>
      </c>
      <c r="G111" s="16" t="n">
        <v>3</v>
      </c>
      <c r="H111" s="17" t="n">
        <v>7</v>
      </c>
      <c r="I111" s="18" t="n">
        <v>9</v>
      </c>
      <c r="J111" s="19" t="n">
        <v>13</v>
      </c>
      <c r="K111" s="20" t="n">
        <v>19</v>
      </c>
      <c r="L111" s="21" t="n">
        <v>24</v>
      </c>
      <c r="M111" s="22" t="n">
        <v>23</v>
      </c>
      <c r="N111" s="15" t="n">
        <f aca="false">SUMPRODUCT(COUNTIF(G111:L111,번호조회!$B$4:$B$9))</f>
        <v>0</v>
      </c>
    </row>
    <row r="112" customFormat="false" ht="16.5" hidden="false" customHeight="true" outlineLevel="0" collapsed="false">
      <c r="E112" s="1" t="n">
        <f aca="false">$E$13-($F$13-F112)*7</f>
        <v>45521</v>
      </c>
      <c r="F112" s="12" t="n">
        <v>1133</v>
      </c>
      <c r="G112" s="16" t="n">
        <v>13</v>
      </c>
      <c r="H112" s="17" t="n">
        <v>14</v>
      </c>
      <c r="I112" s="18" t="n">
        <v>20</v>
      </c>
      <c r="J112" s="19" t="n">
        <v>28</v>
      </c>
      <c r="K112" s="20" t="n">
        <v>29</v>
      </c>
      <c r="L112" s="21" t="n">
        <v>34</v>
      </c>
      <c r="M112" s="22" t="n">
        <v>23</v>
      </c>
      <c r="N112" s="15" t="n">
        <f aca="false">SUMPRODUCT(COUNTIF(G112:L112,번호조회!$B$4:$B$9))</f>
        <v>0</v>
      </c>
    </row>
    <row r="113" customFormat="false" ht="16.5" hidden="false" customHeight="true" outlineLevel="0" collapsed="false">
      <c r="E113" s="1" t="n">
        <f aca="false">$E$13-($F$13-F113)*7</f>
        <v>45514</v>
      </c>
      <c r="F113" s="12" t="n">
        <v>1132</v>
      </c>
      <c r="G113" s="16" t="n">
        <v>6</v>
      </c>
      <c r="H113" s="17" t="n">
        <v>7</v>
      </c>
      <c r="I113" s="18" t="n">
        <v>19</v>
      </c>
      <c r="J113" s="19" t="n">
        <v>28</v>
      </c>
      <c r="K113" s="20" t="n">
        <v>34</v>
      </c>
      <c r="L113" s="21" t="n">
        <v>41</v>
      </c>
      <c r="M113" s="22" t="n">
        <v>5</v>
      </c>
      <c r="N113" s="15" t="n">
        <f aca="false">SUMPRODUCT(COUNTIF(G113:L113,번호조회!$B$4:$B$9))</f>
        <v>0</v>
      </c>
    </row>
    <row r="114" customFormat="false" ht="16.5" hidden="false" customHeight="true" outlineLevel="0" collapsed="false">
      <c r="E114" s="1" t="n">
        <f aca="false">$E$13-($F$13-F114)*7</f>
        <v>45507</v>
      </c>
      <c r="F114" s="12" t="n">
        <v>1131</v>
      </c>
      <c r="G114" s="16" t="n">
        <v>1</v>
      </c>
      <c r="H114" s="17" t="n">
        <v>2</v>
      </c>
      <c r="I114" s="18" t="n">
        <v>6</v>
      </c>
      <c r="J114" s="19" t="n">
        <v>14</v>
      </c>
      <c r="K114" s="20" t="n">
        <v>27</v>
      </c>
      <c r="L114" s="21" t="n">
        <v>38</v>
      </c>
      <c r="M114" s="22" t="n">
        <v>33</v>
      </c>
      <c r="N114" s="15" t="n">
        <f aca="false">SUMPRODUCT(COUNTIF(G114:L114,번호조회!$B$4:$B$9))</f>
        <v>0</v>
      </c>
    </row>
    <row r="115" customFormat="false" ht="16.5" hidden="false" customHeight="true" outlineLevel="0" collapsed="false">
      <c r="E115" s="1" t="n">
        <f aca="false">$E$13-($F$13-F115)*7</f>
        <v>45500</v>
      </c>
      <c r="F115" s="12" t="n">
        <v>1130</v>
      </c>
      <c r="G115" s="16" t="n">
        <v>15</v>
      </c>
      <c r="H115" s="17" t="n">
        <v>19</v>
      </c>
      <c r="I115" s="18" t="n">
        <v>21</v>
      </c>
      <c r="J115" s="19" t="n">
        <v>25</v>
      </c>
      <c r="K115" s="20" t="n">
        <v>27</v>
      </c>
      <c r="L115" s="21" t="n">
        <v>28</v>
      </c>
      <c r="M115" s="22" t="n">
        <v>40</v>
      </c>
      <c r="N115" s="15" t="n">
        <f aca="false">SUMPRODUCT(COUNTIF(G115:L115,번호조회!$B$4:$B$9))</f>
        <v>0</v>
      </c>
    </row>
    <row r="116" customFormat="false" ht="16.5" hidden="false" customHeight="true" outlineLevel="0" collapsed="false">
      <c r="E116" s="1" t="n">
        <f aca="false">$E$13-($F$13-F116)*7</f>
        <v>45493</v>
      </c>
      <c r="F116" s="12" t="n">
        <v>1129</v>
      </c>
      <c r="G116" s="16" t="n">
        <v>5</v>
      </c>
      <c r="H116" s="17" t="n">
        <v>10</v>
      </c>
      <c r="I116" s="18" t="n">
        <v>11</v>
      </c>
      <c r="J116" s="19" t="n">
        <v>17</v>
      </c>
      <c r="K116" s="20" t="n">
        <v>28</v>
      </c>
      <c r="L116" s="21" t="n">
        <v>34</v>
      </c>
      <c r="M116" s="22" t="n">
        <v>22</v>
      </c>
      <c r="N116" s="15" t="n">
        <f aca="false">SUMPRODUCT(COUNTIF(G116:L116,번호조회!$B$4:$B$9))</f>
        <v>0</v>
      </c>
    </row>
    <row r="117" customFormat="false" ht="16.5" hidden="false" customHeight="true" outlineLevel="0" collapsed="false">
      <c r="E117" s="1" t="n">
        <f aca="false">$E$13-($F$13-F117)*7</f>
        <v>45486</v>
      </c>
      <c r="F117" s="12" t="n">
        <v>1128</v>
      </c>
      <c r="G117" s="16" t="n">
        <v>1</v>
      </c>
      <c r="H117" s="17" t="n">
        <v>5</v>
      </c>
      <c r="I117" s="18" t="n">
        <v>8</v>
      </c>
      <c r="J117" s="19" t="n">
        <v>16</v>
      </c>
      <c r="K117" s="20" t="n">
        <v>28</v>
      </c>
      <c r="L117" s="21" t="n">
        <v>33</v>
      </c>
      <c r="M117" s="22" t="n">
        <v>45</v>
      </c>
      <c r="N117" s="15" t="n">
        <f aca="false">SUMPRODUCT(COUNTIF(G117:L117,번호조회!$B$4:$B$9))</f>
        <v>0</v>
      </c>
    </row>
    <row r="118" customFormat="false" ht="16.5" hidden="false" customHeight="true" outlineLevel="0" collapsed="false">
      <c r="E118" s="1" t="n">
        <f aca="false">$E$13-($F$13-F118)*7</f>
        <v>45479</v>
      </c>
      <c r="F118" s="12" t="n">
        <v>1127</v>
      </c>
      <c r="G118" s="16" t="n">
        <v>10</v>
      </c>
      <c r="H118" s="17" t="n">
        <v>15</v>
      </c>
      <c r="I118" s="18" t="n">
        <v>24</v>
      </c>
      <c r="J118" s="19" t="n">
        <v>30</v>
      </c>
      <c r="K118" s="20" t="n">
        <v>31</v>
      </c>
      <c r="L118" s="21" t="n">
        <v>37</v>
      </c>
      <c r="M118" s="22" t="n">
        <v>32</v>
      </c>
      <c r="N118" s="15" t="n">
        <f aca="false">SUMPRODUCT(COUNTIF(G118:L118,번호조회!$B$4:$B$9))</f>
        <v>0</v>
      </c>
    </row>
    <row r="119" customFormat="false" ht="16.5" hidden="false" customHeight="true" outlineLevel="0" collapsed="false">
      <c r="E119" s="1" t="n">
        <f aca="false">$E$13-($F$13-F119)*7</f>
        <v>45472</v>
      </c>
      <c r="F119" s="12" t="n">
        <v>1126</v>
      </c>
      <c r="G119" s="16" t="n">
        <v>4</v>
      </c>
      <c r="H119" s="17" t="n">
        <v>5</v>
      </c>
      <c r="I119" s="18" t="n">
        <v>9</v>
      </c>
      <c r="J119" s="19" t="n">
        <v>11</v>
      </c>
      <c r="K119" s="20" t="n">
        <v>37</v>
      </c>
      <c r="L119" s="21" t="n">
        <v>40</v>
      </c>
      <c r="M119" s="22" t="n">
        <v>7</v>
      </c>
      <c r="N119" s="15" t="n">
        <f aca="false">SUMPRODUCT(COUNTIF(G119:L119,번호조회!$B$4:$B$9))</f>
        <v>0</v>
      </c>
    </row>
    <row r="120" customFormat="false" ht="16.5" hidden="false" customHeight="true" outlineLevel="0" collapsed="false">
      <c r="E120" s="1" t="n">
        <f aca="false">$E$13-($F$13-F120)*7</f>
        <v>45465</v>
      </c>
      <c r="F120" s="12" t="n">
        <v>1125</v>
      </c>
      <c r="G120" s="16" t="n">
        <v>6</v>
      </c>
      <c r="H120" s="17" t="n">
        <v>14</v>
      </c>
      <c r="I120" s="18" t="n">
        <v>25</v>
      </c>
      <c r="J120" s="19" t="n">
        <v>33</v>
      </c>
      <c r="K120" s="20" t="n">
        <v>40</v>
      </c>
      <c r="L120" s="21" t="n">
        <v>44</v>
      </c>
      <c r="M120" s="22" t="n">
        <v>30</v>
      </c>
      <c r="N120" s="15" t="n">
        <f aca="false">SUMPRODUCT(COUNTIF(G120:L120,번호조회!$B$4:$B$9))</f>
        <v>0</v>
      </c>
    </row>
    <row r="121" customFormat="false" ht="16.5" hidden="false" customHeight="true" outlineLevel="0" collapsed="false">
      <c r="E121" s="1" t="n">
        <f aca="false">$E$13-($F$13-F121)*7</f>
        <v>45458</v>
      </c>
      <c r="F121" s="12" t="n">
        <v>1124</v>
      </c>
      <c r="G121" s="16" t="n">
        <v>3</v>
      </c>
      <c r="H121" s="17" t="n">
        <v>8</v>
      </c>
      <c r="I121" s="18" t="n">
        <v>17</v>
      </c>
      <c r="J121" s="19" t="n">
        <v>30</v>
      </c>
      <c r="K121" s="20" t="n">
        <v>33</v>
      </c>
      <c r="L121" s="21" t="n">
        <v>34</v>
      </c>
      <c r="M121" s="22" t="n">
        <v>28</v>
      </c>
      <c r="N121" s="15" t="n">
        <f aca="false">SUMPRODUCT(COUNTIF(G121:L121,번호조회!$B$4:$B$9))</f>
        <v>0</v>
      </c>
    </row>
    <row r="122" customFormat="false" ht="16.5" hidden="false" customHeight="true" outlineLevel="0" collapsed="false">
      <c r="E122" s="1" t="n">
        <f aca="false">$E$13-($F$13-F122)*7</f>
        <v>45451</v>
      </c>
      <c r="F122" s="12" t="n">
        <v>1123</v>
      </c>
      <c r="G122" s="16" t="n">
        <v>13</v>
      </c>
      <c r="H122" s="17" t="n">
        <v>19</v>
      </c>
      <c r="I122" s="18" t="n">
        <v>21</v>
      </c>
      <c r="J122" s="19" t="n">
        <v>24</v>
      </c>
      <c r="K122" s="20" t="n">
        <v>34</v>
      </c>
      <c r="L122" s="21" t="n">
        <v>35</v>
      </c>
      <c r="M122" s="22" t="n">
        <v>26</v>
      </c>
      <c r="N122" s="15" t="n">
        <f aca="false">SUMPRODUCT(COUNTIF(G122:L122,번호조회!$B$4:$B$9))</f>
        <v>0</v>
      </c>
    </row>
    <row r="123" customFormat="false" ht="16.5" hidden="false" customHeight="true" outlineLevel="0" collapsed="false">
      <c r="E123" s="1" t="n">
        <f aca="false">$E$13-($F$13-F123)*7</f>
        <v>45444</v>
      </c>
      <c r="F123" s="12" t="n">
        <v>1122</v>
      </c>
      <c r="G123" s="16" t="n">
        <v>3</v>
      </c>
      <c r="H123" s="17" t="n">
        <v>6</v>
      </c>
      <c r="I123" s="18" t="n">
        <v>21</v>
      </c>
      <c r="J123" s="19" t="n">
        <v>30</v>
      </c>
      <c r="K123" s="20" t="n">
        <v>34</v>
      </c>
      <c r="L123" s="21" t="n">
        <v>35</v>
      </c>
      <c r="M123" s="22" t="n">
        <v>22</v>
      </c>
      <c r="N123" s="15" t="n">
        <f aca="false">SUMPRODUCT(COUNTIF(G123:L123,번호조회!$B$4:$B$9))</f>
        <v>0</v>
      </c>
    </row>
    <row r="124" customFormat="false" ht="16.5" hidden="false" customHeight="true" outlineLevel="0" collapsed="false">
      <c r="E124" s="1" t="n">
        <f aca="false">$E$13-($F$13-F124)*7</f>
        <v>45437</v>
      </c>
      <c r="F124" s="12" t="n">
        <v>1121</v>
      </c>
      <c r="G124" s="16" t="n">
        <v>6</v>
      </c>
      <c r="H124" s="17" t="n">
        <v>24</v>
      </c>
      <c r="I124" s="18" t="n">
        <v>31</v>
      </c>
      <c r="J124" s="19" t="n">
        <v>32</v>
      </c>
      <c r="K124" s="20" t="n">
        <v>38</v>
      </c>
      <c r="L124" s="21" t="n">
        <v>44</v>
      </c>
      <c r="M124" s="22" t="n">
        <v>8</v>
      </c>
      <c r="N124" s="15" t="n">
        <f aca="false">SUMPRODUCT(COUNTIF(G124:L124,번호조회!$B$4:$B$9))</f>
        <v>0</v>
      </c>
    </row>
    <row r="125" customFormat="false" ht="16.5" hidden="false" customHeight="true" outlineLevel="0" collapsed="false">
      <c r="E125" s="1" t="n">
        <f aca="false">$E$13-($F$13-F125)*7</f>
        <v>45430</v>
      </c>
      <c r="F125" s="12" t="n">
        <v>1120</v>
      </c>
      <c r="G125" s="16" t="n">
        <v>2</v>
      </c>
      <c r="H125" s="17" t="n">
        <v>19</v>
      </c>
      <c r="I125" s="18" t="n">
        <v>26</v>
      </c>
      <c r="J125" s="19" t="n">
        <v>31</v>
      </c>
      <c r="K125" s="20" t="n">
        <v>38</v>
      </c>
      <c r="L125" s="21" t="n">
        <v>41</v>
      </c>
      <c r="M125" s="22" t="n">
        <v>34</v>
      </c>
      <c r="N125" s="15" t="n">
        <f aca="false">SUMPRODUCT(COUNTIF(G125:L125,번호조회!$B$4:$B$9))</f>
        <v>0</v>
      </c>
    </row>
    <row r="126" customFormat="false" ht="16.5" hidden="false" customHeight="true" outlineLevel="0" collapsed="false">
      <c r="E126" s="1" t="n">
        <f aca="false">$E$13-($F$13-F126)*7</f>
        <v>45423</v>
      </c>
      <c r="F126" s="12" t="n">
        <v>1119</v>
      </c>
      <c r="G126" s="16" t="n">
        <v>1</v>
      </c>
      <c r="H126" s="17" t="n">
        <v>9</v>
      </c>
      <c r="I126" s="18" t="n">
        <v>12</v>
      </c>
      <c r="J126" s="19" t="n">
        <v>13</v>
      </c>
      <c r="K126" s="20" t="n">
        <v>20</v>
      </c>
      <c r="L126" s="21" t="n">
        <v>45</v>
      </c>
      <c r="M126" s="22" t="n">
        <v>3</v>
      </c>
      <c r="N126" s="15" t="n">
        <f aca="false">SUMPRODUCT(COUNTIF(G126:L126,번호조회!$B$4:$B$9))</f>
        <v>0</v>
      </c>
    </row>
    <row r="127" customFormat="false" ht="16.5" hidden="false" customHeight="true" outlineLevel="0" collapsed="false">
      <c r="E127" s="1" t="n">
        <f aca="false">$E$13-($F$13-F127)*7</f>
        <v>45416</v>
      </c>
      <c r="F127" s="12" t="n">
        <v>1118</v>
      </c>
      <c r="G127" s="16" t="n">
        <v>11</v>
      </c>
      <c r="H127" s="17" t="n">
        <v>13</v>
      </c>
      <c r="I127" s="18" t="n">
        <v>14</v>
      </c>
      <c r="J127" s="19" t="n">
        <v>15</v>
      </c>
      <c r="K127" s="20" t="n">
        <v>16</v>
      </c>
      <c r="L127" s="21" t="n">
        <v>45</v>
      </c>
      <c r="M127" s="22" t="n">
        <v>3</v>
      </c>
      <c r="N127" s="15" t="n">
        <f aca="false">SUMPRODUCT(COUNTIF(G127:L127,번호조회!$B$4:$B$9))</f>
        <v>0</v>
      </c>
    </row>
    <row r="128" customFormat="false" ht="16.5" hidden="false" customHeight="true" outlineLevel="0" collapsed="false">
      <c r="E128" s="1" t="n">
        <f aca="false">$E$13-($F$13-F128)*7</f>
        <v>45409</v>
      </c>
      <c r="F128" s="12" t="n">
        <v>1117</v>
      </c>
      <c r="G128" s="16" t="n">
        <v>3</v>
      </c>
      <c r="H128" s="17" t="n">
        <v>4</v>
      </c>
      <c r="I128" s="18" t="n">
        <v>9</v>
      </c>
      <c r="J128" s="19" t="n">
        <v>30</v>
      </c>
      <c r="K128" s="20" t="n">
        <v>33</v>
      </c>
      <c r="L128" s="21" t="n">
        <v>36</v>
      </c>
      <c r="M128" s="22" t="n">
        <v>7</v>
      </c>
      <c r="N128" s="15" t="n">
        <f aca="false">SUMPRODUCT(COUNTIF(G128:L128,번호조회!$B$4:$B$9))</f>
        <v>0</v>
      </c>
    </row>
    <row r="129" customFormat="false" ht="16.5" hidden="false" customHeight="true" outlineLevel="0" collapsed="false">
      <c r="E129" s="1" t="n">
        <f aca="false">$E$13-($F$13-F129)*7</f>
        <v>45402</v>
      </c>
      <c r="F129" s="12" t="n">
        <v>1116</v>
      </c>
      <c r="G129" s="16" t="n">
        <v>15</v>
      </c>
      <c r="H129" s="17" t="n">
        <v>16</v>
      </c>
      <c r="I129" s="18" t="n">
        <v>17</v>
      </c>
      <c r="J129" s="19" t="n">
        <v>25</v>
      </c>
      <c r="K129" s="20" t="n">
        <v>30</v>
      </c>
      <c r="L129" s="21" t="n">
        <v>31</v>
      </c>
      <c r="M129" s="22" t="n">
        <v>32</v>
      </c>
      <c r="N129" s="15" t="n">
        <f aca="false">SUMPRODUCT(COUNTIF(G129:L129,번호조회!$B$4:$B$9))</f>
        <v>0</v>
      </c>
    </row>
    <row r="130" customFormat="false" ht="16.5" hidden="false" customHeight="true" outlineLevel="0" collapsed="false">
      <c r="E130" s="1" t="n">
        <f aca="false">$E$13-($F$13-F130)*7</f>
        <v>45395</v>
      </c>
      <c r="F130" s="12" t="n">
        <v>1115</v>
      </c>
      <c r="G130" s="16" t="n">
        <v>7</v>
      </c>
      <c r="H130" s="17" t="n">
        <v>12</v>
      </c>
      <c r="I130" s="18" t="n">
        <v>23</v>
      </c>
      <c r="J130" s="19" t="n">
        <v>32</v>
      </c>
      <c r="K130" s="20" t="n">
        <v>34</v>
      </c>
      <c r="L130" s="21" t="n">
        <v>36</v>
      </c>
      <c r="M130" s="22" t="n">
        <v>8</v>
      </c>
      <c r="N130" s="15" t="n">
        <f aca="false">SUMPRODUCT(COUNTIF(G130:L130,번호조회!$B$4:$B$9))</f>
        <v>0</v>
      </c>
    </row>
    <row r="131" customFormat="false" ht="16.5" hidden="false" customHeight="true" outlineLevel="0" collapsed="false">
      <c r="E131" s="1" t="n">
        <f aca="false">$E$13-($F$13-F131)*7</f>
        <v>45388</v>
      </c>
      <c r="F131" s="12" t="n">
        <v>1114</v>
      </c>
      <c r="G131" s="16" t="n">
        <v>10</v>
      </c>
      <c r="H131" s="17" t="n">
        <v>16</v>
      </c>
      <c r="I131" s="18" t="n">
        <v>19</v>
      </c>
      <c r="J131" s="19" t="n">
        <v>32</v>
      </c>
      <c r="K131" s="20" t="n">
        <v>33</v>
      </c>
      <c r="L131" s="21" t="n">
        <v>38</v>
      </c>
      <c r="M131" s="22" t="n">
        <v>3</v>
      </c>
      <c r="N131" s="15" t="n">
        <f aca="false">SUMPRODUCT(COUNTIF(G131:L131,번호조회!$B$4:$B$9))</f>
        <v>0</v>
      </c>
    </row>
    <row r="132" customFormat="false" ht="16.5" hidden="false" customHeight="true" outlineLevel="0" collapsed="false">
      <c r="E132" s="1" t="n">
        <f aca="false">$E$13-($F$13-F132)*7</f>
        <v>45381</v>
      </c>
      <c r="F132" s="12" t="n">
        <v>1113</v>
      </c>
      <c r="G132" s="16" t="n">
        <v>11</v>
      </c>
      <c r="H132" s="17" t="n">
        <v>13</v>
      </c>
      <c r="I132" s="18" t="n">
        <v>20</v>
      </c>
      <c r="J132" s="19" t="n">
        <v>21</v>
      </c>
      <c r="K132" s="20" t="n">
        <v>32</v>
      </c>
      <c r="L132" s="21" t="n">
        <v>44</v>
      </c>
      <c r="M132" s="22" t="n">
        <v>8</v>
      </c>
      <c r="N132" s="15" t="n">
        <f aca="false">SUMPRODUCT(COUNTIF(G132:L132,번호조회!$B$4:$B$9))</f>
        <v>0</v>
      </c>
    </row>
    <row r="133" customFormat="false" ht="16.5" hidden="false" customHeight="true" outlineLevel="0" collapsed="false">
      <c r="E133" s="1" t="n">
        <f aca="false">$E$13-($F$13-F133)*7</f>
        <v>45374</v>
      </c>
      <c r="F133" s="12" t="n">
        <v>1112</v>
      </c>
      <c r="G133" s="16" t="n">
        <v>16</v>
      </c>
      <c r="H133" s="17" t="n">
        <v>20</v>
      </c>
      <c r="I133" s="18" t="n">
        <v>26</v>
      </c>
      <c r="J133" s="19" t="n">
        <v>36</v>
      </c>
      <c r="K133" s="20" t="n">
        <v>42</v>
      </c>
      <c r="L133" s="21" t="n">
        <v>44</v>
      </c>
      <c r="M133" s="22" t="n">
        <v>24</v>
      </c>
      <c r="N133" s="15" t="n">
        <f aca="false">SUMPRODUCT(COUNTIF(G133:L133,번호조회!$B$4:$B$9))</f>
        <v>0</v>
      </c>
    </row>
    <row r="134" customFormat="false" ht="16.5" hidden="false" customHeight="true" outlineLevel="0" collapsed="false">
      <c r="E134" s="1" t="n">
        <f aca="false">$E$13-($F$13-F134)*7</f>
        <v>45367</v>
      </c>
      <c r="F134" s="12" t="n">
        <v>1111</v>
      </c>
      <c r="G134" s="16" t="n">
        <v>3</v>
      </c>
      <c r="H134" s="17" t="n">
        <v>13</v>
      </c>
      <c r="I134" s="18" t="n">
        <v>30</v>
      </c>
      <c r="J134" s="19" t="n">
        <v>33</v>
      </c>
      <c r="K134" s="20" t="n">
        <v>43</v>
      </c>
      <c r="L134" s="21" t="n">
        <v>45</v>
      </c>
      <c r="M134" s="22" t="n">
        <v>4</v>
      </c>
      <c r="N134" s="15" t="n">
        <f aca="false">SUMPRODUCT(COUNTIF(G134:L134,번호조회!$B$4:$B$9))</f>
        <v>0</v>
      </c>
    </row>
    <row r="135" customFormat="false" ht="16.5" hidden="false" customHeight="true" outlineLevel="0" collapsed="false">
      <c r="E135" s="1" t="n">
        <f aca="false">$E$13-($F$13-F135)*7</f>
        <v>45360</v>
      </c>
      <c r="F135" s="12" t="n">
        <v>1110</v>
      </c>
      <c r="G135" s="16" t="n">
        <v>3</v>
      </c>
      <c r="H135" s="17" t="n">
        <v>7</v>
      </c>
      <c r="I135" s="18" t="n">
        <v>11</v>
      </c>
      <c r="J135" s="19" t="n">
        <v>20</v>
      </c>
      <c r="K135" s="20" t="n">
        <v>22</v>
      </c>
      <c r="L135" s="21" t="n">
        <v>41</v>
      </c>
      <c r="M135" s="22" t="n">
        <v>24</v>
      </c>
      <c r="N135" s="15" t="n">
        <f aca="false">SUMPRODUCT(COUNTIF(G135:L135,번호조회!$B$4:$B$9))</f>
        <v>0</v>
      </c>
    </row>
    <row r="136" customFormat="false" ht="16.5" hidden="false" customHeight="true" outlineLevel="0" collapsed="false">
      <c r="E136" s="1" t="n">
        <f aca="false">$E$13-($F$13-F136)*7</f>
        <v>45353</v>
      </c>
      <c r="F136" s="12" t="n">
        <v>1109</v>
      </c>
      <c r="G136" s="16" t="n">
        <v>10</v>
      </c>
      <c r="H136" s="17" t="n">
        <v>12</v>
      </c>
      <c r="I136" s="18" t="n">
        <v>13</v>
      </c>
      <c r="J136" s="19" t="n">
        <v>19</v>
      </c>
      <c r="K136" s="20" t="n">
        <v>33</v>
      </c>
      <c r="L136" s="21" t="n">
        <v>40</v>
      </c>
      <c r="M136" s="22" t="n">
        <v>2</v>
      </c>
      <c r="N136" s="15" t="n">
        <f aca="false">SUMPRODUCT(COUNTIF(G136:L136,번호조회!$B$4:$B$9))</f>
        <v>0</v>
      </c>
    </row>
    <row r="137" customFormat="false" ht="16.5" hidden="false" customHeight="true" outlineLevel="0" collapsed="false">
      <c r="E137" s="1" t="n">
        <f aca="false">$E$13-($F$13-F137)*7</f>
        <v>45346</v>
      </c>
      <c r="F137" s="12" t="n">
        <v>1108</v>
      </c>
      <c r="G137" s="16" t="n">
        <v>7</v>
      </c>
      <c r="H137" s="17" t="n">
        <v>19</v>
      </c>
      <c r="I137" s="18" t="n">
        <v>26</v>
      </c>
      <c r="J137" s="19" t="n">
        <v>37</v>
      </c>
      <c r="K137" s="20" t="n">
        <v>39</v>
      </c>
      <c r="L137" s="21" t="n">
        <v>44</v>
      </c>
      <c r="M137" s="22" t="n">
        <v>27</v>
      </c>
      <c r="N137" s="15" t="n">
        <f aca="false">SUMPRODUCT(COUNTIF(G137:L137,번호조회!$B$4:$B$9))</f>
        <v>0</v>
      </c>
    </row>
    <row r="138" customFormat="false" ht="16.5" hidden="false" customHeight="true" outlineLevel="0" collapsed="false">
      <c r="E138" s="1" t="n">
        <f aca="false">$E$13-($F$13-F138)*7</f>
        <v>45339</v>
      </c>
      <c r="F138" s="12" t="n">
        <v>1107</v>
      </c>
      <c r="G138" s="16" t="n">
        <v>6</v>
      </c>
      <c r="H138" s="17" t="n">
        <v>14</v>
      </c>
      <c r="I138" s="18" t="n">
        <v>30</v>
      </c>
      <c r="J138" s="19" t="n">
        <v>31</v>
      </c>
      <c r="K138" s="20" t="n">
        <v>40</v>
      </c>
      <c r="L138" s="21" t="n">
        <v>41</v>
      </c>
      <c r="M138" s="22" t="n">
        <v>29</v>
      </c>
      <c r="N138" s="15" t="n">
        <f aca="false">SUMPRODUCT(COUNTIF(G138:L138,번호조회!$B$4:$B$9))</f>
        <v>0</v>
      </c>
    </row>
    <row r="139" customFormat="false" ht="16.5" hidden="false" customHeight="true" outlineLevel="0" collapsed="false">
      <c r="E139" s="1" t="n">
        <f aca="false">$E$13-($F$13-F139)*7</f>
        <v>45332</v>
      </c>
      <c r="F139" s="12" t="n">
        <v>1106</v>
      </c>
      <c r="G139" s="16" t="n">
        <v>1</v>
      </c>
      <c r="H139" s="17" t="n">
        <v>3</v>
      </c>
      <c r="I139" s="18" t="n">
        <v>4</v>
      </c>
      <c r="J139" s="19" t="n">
        <v>29</v>
      </c>
      <c r="K139" s="20" t="n">
        <v>42</v>
      </c>
      <c r="L139" s="21" t="n">
        <v>45</v>
      </c>
      <c r="M139" s="22" t="n">
        <v>36</v>
      </c>
      <c r="N139" s="15" t="n">
        <f aca="false">SUMPRODUCT(COUNTIF(G139:L139,번호조회!$B$4:$B$9))</f>
        <v>0</v>
      </c>
    </row>
    <row r="140" customFormat="false" ht="16.5" hidden="false" customHeight="true" outlineLevel="0" collapsed="false">
      <c r="E140" s="1" t="n">
        <f aca="false">$E$13-($F$13-F140)*7</f>
        <v>45325</v>
      </c>
      <c r="F140" s="12" t="n">
        <v>1105</v>
      </c>
      <c r="G140" s="16" t="n">
        <v>6</v>
      </c>
      <c r="H140" s="17" t="n">
        <v>16</v>
      </c>
      <c r="I140" s="18" t="n">
        <v>34</v>
      </c>
      <c r="J140" s="19" t="n">
        <v>37</v>
      </c>
      <c r="K140" s="20" t="n">
        <v>39</v>
      </c>
      <c r="L140" s="21" t="n">
        <v>40</v>
      </c>
      <c r="M140" s="22" t="n">
        <v>11</v>
      </c>
      <c r="N140" s="15" t="n">
        <f aca="false">SUMPRODUCT(COUNTIF(G140:L140,번호조회!$B$4:$B$9))</f>
        <v>0</v>
      </c>
    </row>
    <row r="141" customFormat="false" ht="16.5" hidden="false" customHeight="true" outlineLevel="0" collapsed="false">
      <c r="E141" s="1" t="n">
        <f aca="false">$E$13-($F$13-F141)*7</f>
        <v>45318</v>
      </c>
      <c r="F141" s="12" t="n">
        <v>1104</v>
      </c>
      <c r="G141" s="16" t="n">
        <v>1</v>
      </c>
      <c r="H141" s="17" t="n">
        <v>7</v>
      </c>
      <c r="I141" s="18" t="n">
        <v>21</v>
      </c>
      <c r="J141" s="19" t="n">
        <v>30</v>
      </c>
      <c r="K141" s="20" t="n">
        <v>35</v>
      </c>
      <c r="L141" s="21" t="n">
        <v>38</v>
      </c>
      <c r="M141" s="22" t="n">
        <v>2</v>
      </c>
      <c r="N141" s="15" t="n">
        <f aca="false">SUMPRODUCT(COUNTIF(G141:L141,번호조회!$B$4:$B$9))</f>
        <v>0</v>
      </c>
    </row>
    <row r="142" customFormat="false" ht="16.5" hidden="false" customHeight="true" outlineLevel="0" collapsed="false">
      <c r="E142" s="1" t="n">
        <f aca="false">$E$13-($F$13-F142)*7</f>
        <v>45311</v>
      </c>
      <c r="F142" s="12" t="n">
        <v>1103</v>
      </c>
      <c r="G142" s="16" t="n">
        <v>10</v>
      </c>
      <c r="H142" s="17" t="n">
        <v>12</v>
      </c>
      <c r="I142" s="18" t="n">
        <v>29</v>
      </c>
      <c r="J142" s="19" t="n">
        <v>31</v>
      </c>
      <c r="K142" s="20" t="n">
        <v>40</v>
      </c>
      <c r="L142" s="21" t="n">
        <v>44</v>
      </c>
      <c r="M142" s="22" t="n">
        <v>2</v>
      </c>
      <c r="N142" s="15" t="n">
        <f aca="false">SUMPRODUCT(COUNTIF(G142:L142,번호조회!$B$4:$B$9))</f>
        <v>0</v>
      </c>
    </row>
    <row r="143" customFormat="false" ht="16.5" hidden="false" customHeight="true" outlineLevel="0" collapsed="false">
      <c r="E143" s="1" t="n">
        <f aca="false">$E$13-($F$13-F143)*7</f>
        <v>45304</v>
      </c>
      <c r="F143" s="12" t="n">
        <v>1102</v>
      </c>
      <c r="G143" s="16" t="n">
        <v>13</v>
      </c>
      <c r="H143" s="17" t="n">
        <v>14</v>
      </c>
      <c r="I143" s="18" t="n">
        <v>22</v>
      </c>
      <c r="J143" s="19" t="n">
        <v>26</v>
      </c>
      <c r="K143" s="20" t="n">
        <v>37</v>
      </c>
      <c r="L143" s="21" t="n">
        <v>38</v>
      </c>
      <c r="M143" s="22" t="n">
        <v>20</v>
      </c>
      <c r="N143" s="15" t="n">
        <f aca="false">SUMPRODUCT(COUNTIF(G143:L143,번호조회!$B$4:$B$9))</f>
        <v>0</v>
      </c>
    </row>
    <row r="144" customFormat="false" ht="16.5" hidden="false" customHeight="true" outlineLevel="0" collapsed="false">
      <c r="E144" s="1" t="n">
        <f aca="false">$E$13-($F$13-F144)*7</f>
        <v>45297</v>
      </c>
      <c r="F144" s="12" t="n">
        <v>1101</v>
      </c>
      <c r="G144" s="16" t="n">
        <v>6</v>
      </c>
      <c r="H144" s="17" t="n">
        <v>7</v>
      </c>
      <c r="I144" s="18" t="n">
        <v>13</v>
      </c>
      <c r="J144" s="19" t="n">
        <v>28</v>
      </c>
      <c r="K144" s="20" t="n">
        <v>36</v>
      </c>
      <c r="L144" s="21" t="n">
        <v>42</v>
      </c>
      <c r="M144" s="22" t="n">
        <v>41</v>
      </c>
      <c r="N144" s="15" t="n">
        <f aca="false">SUMPRODUCT(COUNTIF(G144:L144,번호조회!$B$4:$B$9))</f>
        <v>0</v>
      </c>
    </row>
    <row r="145" customFormat="false" ht="16.5" hidden="false" customHeight="true" outlineLevel="0" collapsed="false">
      <c r="E145" s="1" t="n">
        <f aca="false">$E$13-($F$13-F145)*7</f>
        <v>45290</v>
      </c>
      <c r="F145" s="12" t="n">
        <v>1100</v>
      </c>
      <c r="G145" s="16" t="n">
        <v>17</v>
      </c>
      <c r="H145" s="17" t="n">
        <v>26</v>
      </c>
      <c r="I145" s="18" t="n">
        <v>29</v>
      </c>
      <c r="J145" s="19" t="n">
        <v>30</v>
      </c>
      <c r="K145" s="20" t="n">
        <v>31</v>
      </c>
      <c r="L145" s="21" t="n">
        <v>43</v>
      </c>
      <c r="M145" s="22" t="n">
        <v>12</v>
      </c>
      <c r="N145" s="15" t="n">
        <f aca="false">SUMPRODUCT(COUNTIF(G145:L145,번호조회!$B$4:$B$9))</f>
        <v>0</v>
      </c>
    </row>
    <row r="146" customFormat="false" ht="16.5" hidden="false" customHeight="true" outlineLevel="0" collapsed="false">
      <c r="E146" s="1" t="n">
        <f aca="false">$E$13-($F$13-F146)*7</f>
        <v>45283</v>
      </c>
      <c r="F146" s="12" t="n">
        <v>1099</v>
      </c>
      <c r="G146" s="16" t="n">
        <v>3</v>
      </c>
      <c r="H146" s="17" t="n">
        <v>20</v>
      </c>
      <c r="I146" s="18" t="n">
        <v>28</v>
      </c>
      <c r="J146" s="19" t="n">
        <v>38</v>
      </c>
      <c r="K146" s="20" t="n">
        <v>40</v>
      </c>
      <c r="L146" s="21" t="n">
        <v>43</v>
      </c>
      <c r="M146" s="22" t="n">
        <v>4</v>
      </c>
      <c r="N146" s="15" t="n">
        <f aca="false">SUMPRODUCT(COUNTIF(G146:L146,번호조회!$B$4:$B$9))</f>
        <v>0</v>
      </c>
    </row>
    <row r="147" customFormat="false" ht="16.5" hidden="false" customHeight="true" outlineLevel="0" collapsed="false">
      <c r="E147" s="1" t="n">
        <f aca="false">$E$13-($F$13-F147)*7</f>
        <v>45276</v>
      </c>
      <c r="F147" s="12" t="n">
        <v>1098</v>
      </c>
      <c r="G147" s="16" t="n">
        <v>12</v>
      </c>
      <c r="H147" s="17" t="n">
        <v>16</v>
      </c>
      <c r="I147" s="18" t="n">
        <v>21</v>
      </c>
      <c r="J147" s="19" t="n">
        <v>24</v>
      </c>
      <c r="K147" s="20" t="n">
        <v>41</v>
      </c>
      <c r="L147" s="21" t="n">
        <v>43</v>
      </c>
      <c r="M147" s="22" t="n">
        <v>15</v>
      </c>
      <c r="N147" s="15" t="n">
        <f aca="false">SUMPRODUCT(COUNTIF(G147:L147,번호조회!$B$4:$B$9))</f>
        <v>0</v>
      </c>
    </row>
    <row r="148" customFormat="false" ht="16.5" hidden="false" customHeight="true" outlineLevel="0" collapsed="false">
      <c r="E148" s="1" t="n">
        <f aca="false">$E$13-($F$13-F148)*7</f>
        <v>45269</v>
      </c>
      <c r="F148" s="12" t="n">
        <v>1097</v>
      </c>
      <c r="G148" s="16" t="n">
        <v>14</v>
      </c>
      <c r="H148" s="17" t="n">
        <v>33</v>
      </c>
      <c r="I148" s="18" t="n">
        <v>34</v>
      </c>
      <c r="J148" s="19" t="n">
        <v>35</v>
      </c>
      <c r="K148" s="20" t="n">
        <v>37</v>
      </c>
      <c r="L148" s="21" t="n">
        <v>40</v>
      </c>
      <c r="M148" s="22" t="n">
        <v>4</v>
      </c>
      <c r="N148" s="15" t="n">
        <f aca="false">SUMPRODUCT(COUNTIF(G148:L148,번호조회!$B$4:$B$9))</f>
        <v>0</v>
      </c>
    </row>
    <row r="149" customFormat="false" ht="16.5" hidden="false" customHeight="true" outlineLevel="0" collapsed="false">
      <c r="E149" s="1" t="n">
        <f aca="false">$E$13-($F$13-F149)*7</f>
        <v>45262</v>
      </c>
      <c r="F149" s="12" t="n">
        <v>1096</v>
      </c>
      <c r="G149" s="16" t="n">
        <v>1</v>
      </c>
      <c r="H149" s="17" t="n">
        <v>12</v>
      </c>
      <c r="I149" s="18" t="n">
        <v>16</v>
      </c>
      <c r="J149" s="19" t="n">
        <v>19</v>
      </c>
      <c r="K149" s="20" t="n">
        <v>23</v>
      </c>
      <c r="L149" s="21" t="n">
        <v>43</v>
      </c>
      <c r="M149" s="22" t="n">
        <v>34</v>
      </c>
      <c r="N149" s="15" t="n">
        <f aca="false">SUMPRODUCT(COUNTIF(G149:L149,번호조회!$B$4:$B$9))</f>
        <v>0</v>
      </c>
    </row>
    <row r="150" customFormat="false" ht="16.5" hidden="false" customHeight="true" outlineLevel="0" collapsed="false">
      <c r="E150" s="1" t="n">
        <f aca="false">$E$13-($F$13-F150)*7</f>
        <v>45255</v>
      </c>
      <c r="F150" s="12" t="n">
        <v>1095</v>
      </c>
      <c r="G150" s="16" t="n">
        <v>8</v>
      </c>
      <c r="H150" s="17" t="n">
        <v>14</v>
      </c>
      <c r="I150" s="18" t="n">
        <v>28</v>
      </c>
      <c r="J150" s="19" t="n">
        <v>29</v>
      </c>
      <c r="K150" s="20" t="n">
        <v>34</v>
      </c>
      <c r="L150" s="21" t="n">
        <v>40</v>
      </c>
      <c r="M150" s="22" t="n">
        <v>12</v>
      </c>
      <c r="N150" s="15" t="n">
        <f aca="false">SUMPRODUCT(COUNTIF(G150:L150,번호조회!$B$4:$B$9))</f>
        <v>0</v>
      </c>
    </row>
    <row r="151" customFormat="false" ht="16.5" hidden="false" customHeight="true" outlineLevel="0" collapsed="false">
      <c r="E151" s="1" t="n">
        <f aca="false">$E$13-($F$13-F151)*7</f>
        <v>45248</v>
      </c>
      <c r="F151" s="12" t="n">
        <v>1094</v>
      </c>
      <c r="G151" s="16" t="n">
        <v>6</v>
      </c>
      <c r="H151" s="17" t="n">
        <v>7</v>
      </c>
      <c r="I151" s="18" t="n">
        <v>15</v>
      </c>
      <c r="J151" s="19" t="n">
        <v>22</v>
      </c>
      <c r="K151" s="20" t="n">
        <v>26</v>
      </c>
      <c r="L151" s="21" t="n">
        <v>40</v>
      </c>
      <c r="M151" s="22" t="n">
        <v>41</v>
      </c>
      <c r="N151" s="15" t="n">
        <f aca="false">SUMPRODUCT(COUNTIF(G151:L151,번호조회!$B$4:$B$9))</f>
        <v>0</v>
      </c>
    </row>
    <row r="152" customFormat="false" ht="16.5" hidden="false" customHeight="true" outlineLevel="0" collapsed="false">
      <c r="E152" s="1" t="n">
        <f aca="false">$E$13-($F$13-F152)*7</f>
        <v>45241</v>
      </c>
      <c r="F152" s="12" t="n">
        <v>1093</v>
      </c>
      <c r="G152" s="16" t="n">
        <v>10</v>
      </c>
      <c r="H152" s="17" t="n">
        <v>17</v>
      </c>
      <c r="I152" s="18" t="n">
        <v>22</v>
      </c>
      <c r="J152" s="19" t="n">
        <v>30</v>
      </c>
      <c r="K152" s="20" t="n">
        <v>35</v>
      </c>
      <c r="L152" s="21" t="n">
        <v>43</v>
      </c>
      <c r="M152" s="22" t="n">
        <v>44</v>
      </c>
      <c r="N152" s="15" t="n">
        <f aca="false">SUMPRODUCT(COUNTIF(G152:L152,번호조회!$B$4:$B$9))</f>
        <v>0</v>
      </c>
    </row>
    <row r="153" customFormat="false" ht="16.5" hidden="false" customHeight="true" outlineLevel="0" collapsed="false">
      <c r="E153" s="1" t="n">
        <f aca="false">$E$13-($F$13-F153)*7</f>
        <v>45234</v>
      </c>
      <c r="F153" s="12" t="n">
        <v>1092</v>
      </c>
      <c r="G153" s="16" t="n">
        <v>7</v>
      </c>
      <c r="H153" s="17" t="n">
        <v>18</v>
      </c>
      <c r="I153" s="18" t="n">
        <v>19</v>
      </c>
      <c r="J153" s="19" t="n">
        <v>26</v>
      </c>
      <c r="K153" s="20" t="n">
        <v>33</v>
      </c>
      <c r="L153" s="21" t="n">
        <v>45</v>
      </c>
      <c r="M153" s="22" t="n">
        <v>37</v>
      </c>
      <c r="N153" s="15" t="n">
        <f aca="false">SUMPRODUCT(COUNTIF(G153:L153,번호조회!$B$4:$B$9))</f>
        <v>0</v>
      </c>
    </row>
    <row r="154" customFormat="false" ht="16.5" hidden="false" customHeight="true" outlineLevel="0" collapsed="false">
      <c r="E154" s="1" t="n">
        <f aca="false">$E$13-($F$13-F154)*7</f>
        <v>45227</v>
      </c>
      <c r="F154" s="12" t="n">
        <v>1091</v>
      </c>
      <c r="G154" s="16" t="n">
        <v>6</v>
      </c>
      <c r="H154" s="17" t="n">
        <v>20</v>
      </c>
      <c r="I154" s="18" t="n">
        <v>23</v>
      </c>
      <c r="J154" s="19" t="n">
        <v>24</v>
      </c>
      <c r="K154" s="20" t="n">
        <v>28</v>
      </c>
      <c r="L154" s="21" t="n">
        <v>30</v>
      </c>
      <c r="M154" s="22" t="n">
        <v>44</v>
      </c>
      <c r="N154" s="15" t="n">
        <f aca="false">SUMPRODUCT(COUNTIF(G154:L154,번호조회!$B$4:$B$9))</f>
        <v>0</v>
      </c>
    </row>
    <row r="155" customFormat="false" ht="16.5" hidden="false" customHeight="true" outlineLevel="0" collapsed="false">
      <c r="E155" s="1" t="n">
        <f aca="false">$E$13-($F$13-F155)*7</f>
        <v>45220</v>
      </c>
      <c r="F155" s="12" t="n">
        <v>1090</v>
      </c>
      <c r="G155" s="16" t="n">
        <v>12</v>
      </c>
      <c r="H155" s="17" t="n">
        <v>19</v>
      </c>
      <c r="I155" s="18" t="n">
        <v>21</v>
      </c>
      <c r="J155" s="19" t="n">
        <v>29</v>
      </c>
      <c r="K155" s="20" t="n">
        <v>40</v>
      </c>
      <c r="L155" s="21" t="n">
        <v>45</v>
      </c>
      <c r="M155" s="22" t="n">
        <v>1</v>
      </c>
      <c r="N155" s="15" t="n">
        <f aca="false">SUMPRODUCT(COUNTIF(G155:L155,번호조회!$B$4:$B$9))</f>
        <v>0</v>
      </c>
    </row>
    <row r="156" customFormat="false" ht="16.5" hidden="false" customHeight="true" outlineLevel="0" collapsed="false">
      <c r="E156" s="1" t="n">
        <f aca="false">$E$13-($F$13-F156)*7</f>
        <v>45213</v>
      </c>
      <c r="F156" s="12" t="n">
        <v>1089</v>
      </c>
      <c r="G156" s="16" t="n">
        <v>4</v>
      </c>
      <c r="H156" s="17" t="n">
        <v>18</v>
      </c>
      <c r="I156" s="18" t="n">
        <v>31</v>
      </c>
      <c r="J156" s="19" t="n">
        <v>37</v>
      </c>
      <c r="K156" s="20" t="n">
        <v>42</v>
      </c>
      <c r="L156" s="21" t="n">
        <v>43</v>
      </c>
      <c r="M156" s="22" t="n">
        <v>40</v>
      </c>
      <c r="N156" s="15" t="n">
        <f aca="false">SUMPRODUCT(COUNTIF(G156:L156,번호조회!$B$4:$B$9))</f>
        <v>0</v>
      </c>
    </row>
    <row r="157" customFormat="false" ht="16.5" hidden="false" customHeight="true" outlineLevel="0" collapsed="false">
      <c r="E157" s="1" t="n">
        <f aca="false">$E$13-($F$13-F157)*7</f>
        <v>45206</v>
      </c>
      <c r="F157" s="12" t="n">
        <v>1088</v>
      </c>
      <c r="G157" s="16" t="n">
        <v>11</v>
      </c>
      <c r="H157" s="17" t="n">
        <v>21</v>
      </c>
      <c r="I157" s="18" t="n">
        <v>22</v>
      </c>
      <c r="J157" s="19" t="n">
        <v>30</v>
      </c>
      <c r="K157" s="20" t="n">
        <v>39</v>
      </c>
      <c r="L157" s="21" t="n">
        <v>44</v>
      </c>
      <c r="M157" s="22" t="n">
        <v>31</v>
      </c>
      <c r="N157" s="15" t="n">
        <f aca="false">SUMPRODUCT(COUNTIF(G157:L157,번호조회!$B$4:$B$9))</f>
        <v>0</v>
      </c>
    </row>
    <row r="158" customFormat="false" ht="16.5" hidden="false" customHeight="true" outlineLevel="0" collapsed="false">
      <c r="E158" s="1" t="n">
        <f aca="false">$E$13-($F$13-F158)*7</f>
        <v>45199</v>
      </c>
      <c r="F158" s="12" t="n">
        <v>1087</v>
      </c>
      <c r="G158" s="16" t="n">
        <v>13</v>
      </c>
      <c r="H158" s="17" t="n">
        <v>14</v>
      </c>
      <c r="I158" s="18" t="n">
        <v>18</v>
      </c>
      <c r="J158" s="19" t="n">
        <v>21</v>
      </c>
      <c r="K158" s="20" t="n">
        <v>34</v>
      </c>
      <c r="L158" s="21" t="n">
        <v>44</v>
      </c>
      <c r="M158" s="22" t="n">
        <v>16</v>
      </c>
      <c r="N158" s="15" t="n">
        <f aca="false">SUMPRODUCT(COUNTIF(G158:L158,번호조회!$B$4:$B$9))</f>
        <v>0</v>
      </c>
    </row>
    <row r="159" customFormat="false" ht="16.5" hidden="false" customHeight="true" outlineLevel="0" collapsed="false">
      <c r="E159" s="1" t="n">
        <f aca="false">$E$13-($F$13-F159)*7</f>
        <v>45192</v>
      </c>
      <c r="F159" s="12" t="n">
        <v>1086</v>
      </c>
      <c r="G159" s="16" t="n">
        <v>11</v>
      </c>
      <c r="H159" s="17" t="n">
        <v>16</v>
      </c>
      <c r="I159" s="18" t="n">
        <v>25</v>
      </c>
      <c r="J159" s="19" t="n">
        <v>27</v>
      </c>
      <c r="K159" s="20" t="n">
        <v>35</v>
      </c>
      <c r="L159" s="21" t="n">
        <v>36</v>
      </c>
      <c r="M159" s="22" t="n">
        <v>37</v>
      </c>
      <c r="N159" s="15" t="n">
        <f aca="false">SUMPRODUCT(COUNTIF(G159:L159,번호조회!$B$4:$B$9))</f>
        <v>0</v>
      </c>
    </row>
    <row r="160" customFormat="false" ht="16.5" hidden="false" customHeight="true" outlineLevel="0" collapsed="false">
      <c r="E160" s="1" t="n">
        <f aca="false">$E$13-($F$13-F160)*7</f>
        <v>45185</v>
      </c>
      <c r="F160" s="12" t="n">
        <v>1085</v>
      </c>
      <c r="G160" s="16" t="n">
        <v>4</v>
      </c>
      <c r="H160" s="17" t="n">
        <v>7</v>
      </c>
      <c r="I160" s="18" t="n">
        <v>17</v>
      </c>
      <c r="J160" s="19" t="n">
        <v>18</v>
      </c>
      <c r="K160" s="20" t="n">
        <v>38</v>
      </c>
      <c r="L160" s="21" t="n">
        <v>44</v>
      </c>
      <c r="M160" s="22" t="n">
        <v>36</v>
      </c>
      <c r="N160" s="15" t="n">
        <f aca="false">SUMPRODUCT(COUNTIF(G160:L160,번호조회!$B$4:$B$9))</f>
        <v>0</v>
      </c>
    </row>
    <row r="161" customFormat="false" ht="16.5" hidden="false" customHeight="true" outlineLevel="0" collapsed="false">
      <c r="E161" s="1" t="n">
        <f aca="false">$E$13-($F$13-F161)*7</f>
        <v>45178</v>
      </c>
      <c r="F161" s="12" t="n">
        <v>1084</v>
      </c>
      <c r="G161" s="16" t="n">
        <v>8</v>
      </c>
      <c r="H161" s="17" t="n">
        <v>12</v>
      </c>
      <c r="I161" s="18" t="n">
        <v>13</v>
      </c>
      <c r="J161" s="19" t="n">
        <v>29</v>
      </c>
      <c r="K161" s="20" t="n">
        <v>33</v>
      </c>
      <c r="L161" s="21" t="n">
        <v>42</v>
      </c>
      <c r="M161" s="22" t="n">
        <v>5</v>
      </c>
      <c r="N161" s="15" t="n">
        <f aca="false">SUMPRODUCT(COUNTIF(G161:L161,번호조회!$B$4:$B$9))</f>
        <v>0</v>
      </c>
    </row>
    <row r="162" customFormat="false" ht="16.5" hidden="false" customHeight="true" outlineLevel="0" collapsed="false">
      <c r="E162" s="1" t="n">
        <f aca="false">$E$13-($F$13-F162)*7</f>
        <v>45171</v>
      </c>
      <c r="F162" s="12" t="n">
        <v>1083</v>
      </c>
      <c r="G162" s="16" t="n">
        <v>3</v>
      </c>
      <c r="H162" s="17" t="n">
        <v>7</v>
      </c>
      <c r="I162" s="18" t="n">
        <v>14</v>
      </c>
      <c r="J162" s="19" t="n">
        <v>15</v>
      </c>
      <c r="K162" s="20" t="n">
        <v>22</v>
      </c>
      <c r="L162" s="21" t="n">
        <v>38</v>
      </c>
      <c r="M162" s="22" t="n">
        <v>17</v>
      </c>
      <c r="N162" s="15" t="n">
        <f aca="false">SUMPRODUCT(COUNTIF(G162:L162,번호조회!$B$4:$B$9))</f>
        <v>0</v>
      </c>
    </row>
    <row r="163" customFormat="false" ht="16.5" hidden="false" customHeight="true" outlineLevel="0" collapsed="false">
      <c r="E163" s="1" t="n">
        <f aca="false">$E$13-($F$13-F163)*7</f>
        <v>45164</v>
      </c>
      <c r="F163" s="12" t="n">
        <v>1082</v>
      </c>
      <c r="G163" s="16" t="n">
        <v>21</v>
      </c>
      <c r="H163" s="17" t="n">
        <v>26</v>
      </c>
      <c r="I163" s="18" t="n">
        <v>27</v>
      </c>
      <c r="J163" s="19" t="n">
        <v>32</v>
      </c>
      <c r="K163" s="20" t="n">
        <v>34</v>
      </c>
      <c r="L163" s="21" t="n">
        <v>42</v>
      </c>
      <c r="M163" s="22" t="n">
        <v>31</v>
      </c>
      <c r="N163" s="15" t="n">
        <f aca="false">SUMPRODUCT(COUNTIF(G163:L163,번호조회!$B$4:$B$9))</f>
        <v>0</v>
      </c>
    </row>
    <row r="164" customFormat="false" ht="16.5" hidden="false" customHeight="true" outlineLevel="0" collapsed="false">
      <c r="E164" s="1" t="n">
        <f aca="false">$E$13-($F$13-F164)*7</f>
        <v>45157</v>
      </c>
      <c r="F164" s="12" t="n">
        <v>1081</v>
      </c>
      <c r="G164" s="16" t="n">
        <v>1</v>
      </c>
      <c r="H164" s="17" t="n">
        <v>9</v>
      </c>
      <c r="I164" s="18" t="n">
        <v>16</v>
      </c>
      <c r="J164" s="19" t="n">
        <v>23</v>
      </c>
      <c r="K164" s="20" t="n">
        <v>24</v>
      </c>
      <c r="L164" s="21" t="n">
        <v>38</v>
      </c>
      <c r="M164" s="22" t="n">
        <v>17</v>
      </c>
      <c r="N164" s="15" t="n">
        <f aca="false">SUMPRODUCT(COUNTIF(G164:L164,번호조회!$B$4:$B$9))</f>
        <v>0</v>
      </c>
    </row>
    <row r="165" customFormat="false" ht="16.5" hidden="false" customHeight="true" outlineLevel="0" collapsed="false">
      <c r="E165" s="1" t="n">
        <f aca="false">$E$13-($F$13-F165)*7</f>
        <v>45150</v>
      </c>
      <c r="F165" s="12" t="n">
        <v>1080</v>
      </c>
      <c r="G165" s="16" t="n">
        <v>13</v>
      </c>
      <c r="H165" s="17" t="n">
        <v>16</v>
      </c>
      <c r="I165" s="18" t="n">
        <v>23</v>
      </c>
      <c r="J165" s="19" t="n">
        <v>31</v>
      </c>
      <c r="K165" s="20" t="n">
        <v>36</v>
      </c>
      <c r="L165" s="21" t="n">
        <v>44</v>
      </c>
      <c r="M165" s="22" t="n">
        <v>38</v>
      </c>
      <c r="N165" s="15" t="n">
        <f aca="false">SUMPRODUCT(COUNTIF(G165:L165,번호조회!$B$4:$B$9))</f>
        <v>0</v>
      </c>
    </row>
    <row r="166" customFormat="false" ht="16.5" hidden="false" customHeight="true" outlineLevel="0" collapsed="false">
      <c r="E166" s="1" t="n">
        <f aca="false">$E$13-($F$13-F166)*7</f>
        <v>45143</v>
      </c>
      <c r="F166" s="12" t="n">
        <v>1079</v>
      </c>
      <c r="G166" s="16" t="n">
        <v>4</v>
      </c>
      <c r="H166" s="17" t="n">
        <v>8</v>
      </c>
      <c r="I166" s="18" t="n">
        <v>18</v>
      </c>
      <c r="J166" s="19" t="n">
        <v>24</v>
      </c>
      <c r="K166" s="20" t="n">
        <v>37</v>
      </c>
      <c r="L166" s="21" t="n">
        <v>45</v>
      </c>
      <c r="M166" s="22" t="n">
        <v>6</v>
      </c>
      <c r="N166" s="15" t="n">
        <f aca="false">SUMPRODUCT(COUNTIF(G166:L166,번호조회!$B$4:$B$9))</f>
        <v>0</v>
      </c>
    </row>
    <row r="167" customFormat="false" ht="16.5" hidden="false" customHeight="true" outlineLevel="0" collapsed="false">
      <c r="E167" s="1" t="n">
        <f aca="false">$E$13-($F$13-F167)*7</f>
        <v>45136</v>
      </c>
      <c r="F167" s="12" t="n">
        <v>1078</v>
      </c>
      <c r="G167" s="16" t="n">
        <v>6</v>
      </c>
      <c r="H167" s="17" t="n">
        <v>10</v>
      </c>
      <c r="I167" s="18" t="n">
        <v>11</v>
      </c>
      <c r="J167" s="19" t="n">
        <v>14</v>
      </c>
      <c r="K167" s="20" t="n">
        <v>36</v>
      </c>
      <c r="L167" s="21" t="n">
        <v>38</v>
      </c>
      <c r="M167" s="22" t="n">
        <v>43</v>
      </c>
      <c r="N167" s="15" t="n">
        <f aca="false">SUMPRODUCT(COUNTIF(G167:L167,번호조회!$B$4:$B$9))</f>
        <v>0</v>
      </c>
    </row>
    <row r="168" customFormat="false" ht="16.5" hidden="false" customHeight="true" outlineLevel="0" collapsed="false">
      <c r="E168" s="1" t="n">
        <f aca="false">$E$13-($F$13-F168)*7</f>
        <v>45129</v>
      </c>
      <c r="F168" s="12" t="n">
        <v>1077</v>
      </c>
      <c r="G168" s="16" t="n">
        <v>4</v>
      </c>
      <c r="H168" s="17" t="n">
        <v>8</v>
      </c>
      <c r="I168" s="18" t="n">
        <v>17</v>
      </c>
      <c r="J168" s="19" t="n">
        <v>30</v>
      </c>
      <c r="K168" s="20" t="n">
        <v>40</v>
      </c>
      <c r="L168" s="21" t="n">
        <v>43</v>
      </c>
      <c r="M168" s="22" t="n">
        <v>34</v>
      </c>
      <c r="N168" s="15" t="n">
        <f aca="false">SUMPRODUCT(COUNTIF(G168:L168,번호조회!$B$4:$B$9))</f>
        <v>0</v>
      </c>
    </row>
    <row r="169" customFormat="false" ht="16.5" hidden="false" customHeight="true" outlineLevel="0" collapsed="false">
      <c r="E169" s="1" t="n">
        <f aca="false">$E$13-($F$13-F169)*7</f>
        <v>45122</v>
      </c>
      <c r="F169" s="12" t="n">
        <v>1076</v>
      </c>
      <c r="G169" s="16" t="n">
        <v>3</v>
      </c>
      <c r="H169" s="17" t="n">
        <v>7</v>
      </c>
      <c r="I169" s="18" t="n">
        <v>9</v>
      </c>
      <c r="J169" s="19" t="n">
        <v>33</v>
      </c>
      <c r="K169" s="20" t="n">
        <v>36</v>
      </c>
      <c r="L169" s="21" t="n">
        <v>37</v>
      </c>
      <c r="M169" s="22" t="n">
        <v>10</v>
      </c>
      <c r="N169" s="15" t="n">
        <f aca="false">SUMPRODUCT(COUNTIF(G169:L169,번호조회!$B$4:$B$9))</f>
        <v>0</v>
      </c>
    </row>
    <row r="170" customFormat="false" ht="16.5" hidden="false" customHeight="true" outlineLevel="0" collapsed="false">
      <c r="E170" s="1" t="n">
        <f aca="false">$E$13-($F$13-F170)*7</f>
        <v>45115</v>
      </c>
      <c r="F170" s="12" t="n">
        <v>1075</v>
      </c>
      <c r="G170" s="16" t="n">
        <v>1</v>
      </c>
      <c r="H170" s="17" t="n">
        <v>23</v>
      </c>
      <c r="I170" s="18" t="n">
        <v>24</v>
      </c>
      <c r="J170" s="19" t="n">
        <v>35</v>
      </c>
      <c r="K170" s="20" t="n">
        <v>44</v>
      </c>
      <c r="L170" s="21" t="n">
        <v>45</v>
      </c>
      <c r="M170" s="22" t="n">
        <v>10</v>
      </c>
      <c r="N170" s="15" t="n">
        <f aca="false">SUMPRODUCT(COUNTIF(G170:L170,번호조회!$B$4:$B$9))</f>
        <v>0</v>
      </c>
    </row>
    <row r="171" customFormat="false" ht="16.5" hidden="false" customHeight="true" outlineLevel="0" collapsed="false">
      <c r="E171" s="1" t="n">
        <f aca="false">$E$13-($F$13-F171)*7</f>
        <v>45108</v>
      </c>
      <c r="F171" s="12" t="n">
        <v>1074</v>
      </c>
      <c r="G171" s="16" t="n">
        <v>1</v>
      </c>
      <c r="H171" s="17" t="n">
        <v>6</v>
      </c>
      <c r="I171" s="18" t="n">
        <v>20</v>
      </c>
      <c r="J171" s="19" t="n">
        <v>27</v>
      </c>
      <c r="K171" s="20" t="n">
        <v>28</v>
      </c>
      <c r="L171" s="21" t="n">
        <v>41</v>
      </c>
      <c r="M171" s="22" t="n">
        <v>15</v>
      </c>
      <c r="N171" s="15" t="n">
        <f aca="false">SUMPRODUCT(COUNTIF(G171:L171,번호조회!$B$4:$B$9))</f>
        <v>0</v>
      </c>
    </row>
    <row r="172" customFormat="false" ht="16.5" hidden="false" customHeight="true" outlineLevel="0" collapsed="false">
      <c r="E172" s="1" t="n">
        <f aca="false">$E$13-($F$13-F172)*7</f>
        <v>45101</v>
      </c>
      <c r="F172" s="12" t="n">
        <v>1073</v>
      </c>
      <c r="G172" s="16" t="n">
        <v>6</v>
      </c>
      <c r="H172" s="17" t="n">
        <v>18</v>
      </c>
      <c r="I172" s="18" t="n">
        <v>28</v>
      </c>
      <c r="J172" s="19" t="n">
        <v>30</v>
      </c>
      <c r="K172" s="20" t="n">
        <v>32</v>
      </c>
      <c r="L172" s="21" t="n">
        <v>38</v>
      </c>
      <c r="M172" s="22" t="n">
        <v>15</v>
      </c>
      <c r="N172" s="15" t="n">
        <f aca="false">SUMPRODUCT(COUNTIF(G172:L172,번호조회!$B$4:$B$9))</f>
        <v>0</v>
      </c>
    </row>
    <row r="173" customFormat="false" ht="16.5" hidden="false" customHeight="true" outlineLevel="0" collapsed="false">
      <c r="E173" s="1" t="n">
        <f aca="false">$E$13-($F$13-F173)*7</f>
        <v>45094</v>
      </c>
      <c r="F173" s="12" t="n">
        <v>1072</v>
      </c>
      <c r="G173" s="16" t="n">
        <v>16</v>
      </c>
      <c r="H173" s="17" t="n">
        <v>18</v>
      </c>
      <c r="I173" s="18" t="n">
        <v>20</v>
      </c>
      <c r="J173" s="19" t="n">
        <v>23</v>
      </c>
      <c r="K173" s="20" t="n">
        <v>32</v>
      </c>
      <c r="L173" s="21" t="n">
        <v>43</v>
      </c>
      <c r="M173" s="22" t="n">
        <v>27</v>
      </c>
      <c r="N173" s="15" t="n">
        <f aca="false">SUMPRODUCT(COUNTIF(G173:L173,번호조회!$B$4:$B$9))</f>
        <v>0</v>
      </c>
    </row>
    <row r="174" customFormat="false" ht="16.5" hidden="false" customHeight="true" outlineLevel="0" collapsed="false">
      <c r="E174" s="1" t="n">
        <f aca="false">$E$13-($F$13-F174)*7</f>
        <v>45087</v>
      </c>
      <c r="F174" s="12" t="n">
        <v>1071</v>
      </c>
      <c r="G174" s="16" t="n">
        <v>1</v>
      </c>
      <c r="H174" s="17" t="n">
        <v>2</v>
      </c>
      <c r="I174" s="18" t="n">
        <v>11</v>
      </c>
      <c r="J174" s="19" t="n">
        <v>21</v>
      </c>
      <c r="K174" s="20" t="n">
        <v>30</v>
      </c>
      <c r="L174" s="21" t="n">
        <v>35</v>
      </c>
      <c r="M174" s="22" t="n">
        <v>39</v>
      </c>
      <c r="N174" s="15" t="n">
        <f aca="false">SUMPRODUCT(COUNTIF(G174:L174,번호조회!$B$4:$B$9))</f>
        <v>0</v>
      </c>
    </row>
    <row r="175" customFormat="false" ht="16.5" hidden="false" customHeight="true" outlineLevel="0" collapsed="false">
      <c r="E175" s="1" t="n">
        <f aca="false">$E$13-($F$13-F175)*7</f>
        <v>45080</v>
      </c>
      <c r="F175" s="12" t="n">
        <v>1070</v>
      </c>
      <c r="G175" s="16" t="n">
        <v>3</v>
      </c>
      <c r="H175" s="17" t="n">
        <v>6</v>
      </c>
      <c r="I175" s="18" t="n">
        <v>14</v>
      </c>
      <c r="J175" s="19" t="n">
        <v>22</v>
      </c>
      <c r="K175" s="20" t="n">
        <v>30</v>
      </c>
      <c r="L175" s="21" t="n">
        <v>41</v>
      </c>
      <c r="M175" s="22" t="n">
        <v>36</v>
      </c>
      <c r="N175" s="15" t="n">
        <f aca="false">SUMPRODUCT(COUNTIF(G175:L175,번호조회!$B$4:$B$9))</f>
        <v>0</v>
      </c>
    </row>
    <row r="176" customFormat="false" ht="16.5" hidden="false" customHeight="true" outlineLevel="0" collapsed="false">
      <c r="E176" s="1" t="n">
        <f aca="false">$E$13-($F$13-F176)*7</f>
        <v>45073</v>
      </c>
      <c r="F176" s="12" t="n">
        <v>1069</v>
      </c>
      <c r="G176" s="16" t="n">
        <v>1</v>
      </c>
      <c r="H176" s="17" t="n">
        <v>10</v>
      </c>
      <c r="I176" s="18" t="n">
        <v>18</v>
      </c>
      <c r="J176" s="19" t="n">
        <v>22</v>
      </c>
      <c r="K176" s="20" t="n">
        <v>28</v>
      </c>
      <c r="L176" s="21" t="n">
        <v>31</v>
      </c>
      <c r="M176" s="22" t="n">
        <v>44</v>
      </c>
      <c r="N176" s="15" t="n">
        <f aca="false">SUMPRODUCT(COUNTIF(G176:L176,번호조회!$B$4:$B$9))</f>
        <v>0</v>
      </c>
    </row>
    <row r="177" customFormat="false" ht="16.5" hidden="false" customHeight="true" outlineLevel="0" collapsed="false">
      <c r="E177" s="1" t="n">
        <f aca="false">$E$13-($F$13-F177)*7</f>
        <v>45066</v>
      </c>
      <c r="F177" s="12" t="n">
        <v>1068</v>
      </c>
      <c r="G177" s="16" t="n">
        <v>4</v>
      </c>
      <c r="H177" s="17" t="n">
        <v>7</v>
      </c>
      <c r="I177" s="18" t="n">
        <v>19</v>
      </c>
      <c r="J177" s="19" t="n">
        <v>26</v>
      </c>
      <c r="K177" s="20" t="n">
        <v>33</v>
      </c>
      <c r="L177" s="21" t="n">
        <v>35</v>
      </c>
      <c r="M177" s="22" t="n">
        <v>3</v>
      </c>
      <c r="N177" s="15" t="n">
        <f aca="false">SUMPRODUCT(COUNTIF(G177:L177,번호조회!$B$4:$B$9))</f>
        <v>0</v>
      </c>
    </row>
    <row r="178" customFormat="false" ht="16.5" hidden="false" customHeight="true" outlineLevel="0" collapsed="false">
      <c r="E178" s="1" t="n">
        <f aca="false">$E$13-($F$13-F178)*7</f>
        <v>45059</v>
      </c>
      <c r="F178" s="12" t="n">
        <v>1067</v>
      </c>
      <c r="G178" s="16" t="n">
        <v>7</v>
      </c>
      <c r="H178" s="17" t="n">
        <v>10</v>
      </c>
      <c r="I178" s="18" t="n">
        <v>19</v>
      </c>
      <c r="J178" s="19" t="n">
        <v>23</v>
      </c>
      <c r="K178" s="20" t="n">
        <v>28</v>
      </c>
      <c r="L178" s="21" t="n">
        <v>33</v>
      </c>
      <c r="M178" s="22" t="n">
        <v>18</v>
      </c>
      <c r="N178" s="15" t="n">
        <f aca="false">SUMPRODUCT(COUNTIF(G178:L178,번호조회!$B$4:$B$9))</f>
        <v>0</v>
      </c>
    </row>
    <row r="179" customFormat="false" ht="16.5" hidden="false" customHeight="true" outlineLevel="0" collapsed="false">
      <c r="E179" s="1" t="n">
        <f aca="false">$E$13-($F$13-F179)*7</f>
        <v>45052</v>
      </c>
      <c r="F179" s="12" t="n">
        <v>1066</v>
      </c>
      <c r="G179" s="16" t="n">
        <v>6</v>
      </c>
      <c r="H179" s="17" t="n">
        <v>11</v>
      </c>
      <c r="I179" s="18" t="n">
        <v>16</v>
      </c>
      <c r="J179" s="19" t="n">
        <v>19</v>
      </c>
      <c r="K179" s="20" t="n">
        <v>21</v>
      </c>
      <c r="L179" s="21" t="n">
        <v>32</v>
      </c>
      <c r="M179" s="22" t="n">
        <v>45</v>
      </c>
      <c r="N179" s="15" t="n">
        <f aca="false">SUMPRODUCT(COUNTIF(G179:L179,번호조회!$B$4:$B$9))</f>
        <v>0</v>
      </c>
    </row>
    <row r="180" customFormat="false" ht="16.5" hidden="false" customHeight="true" outlineLevel="0" collapsed="false">
      <c r="E180" s="1" t="n">
        <f aca="false">$E$13-($F$13-F180)*7</f>
        <v>45045</v>
      </c>
      <c r="F180" s="12" t="n">
        <v>1065</v>
      </c>
      <c r="G180" s="16" t="n">
        <v>3</v>
      </c>
      <c r="H180" s="17" t="n">
        <v>18</v>
      </c>
      <c r="I180" s="18" t="n">
        <v>19</v>
      </c>
      <c r="J180" s="19" t="n">
        <v>23</v>
      </c>
      <c r="K180" s="20" t="n">
        <v>32</v>
      </c>
      <c r="L180" s="21" t="n">
        <v>45</v>
      </c>
      <c r="M180" s="22" t="n">
        <v>24</v>
      </c>
      <c r="N180" s="15" t="n">
        <f aca="false">SUMPRODUCT(COUNTIF(G180:L180,번호조회!$B$4:$B$9))</f>
        <v>0</v>
      </c>
    </row>
    <row r="181" customFormat="false" ht="16.5" hidden="false" customHeight="true" outlineLevel="0" collapsed="false">
      <c r="E181" s="1" t="n">
        <f aca="false">$E$13-($F$13-F181)*7</f>
        <v>45038</v>
      </c>
      <c r="F181" s="12" t="n">
        <v>1064</v>
      </c>
      <c r="G181" s="16" t="n">
        <v>3</v>
      </c>
      <c r="H181" s="17" t="n">
        <v>6</v>
      </c>
      <c r="I181" s="18" t="n">
        <v>9</v>
      </c>
      <c r="J181" s="19" t="n">
        <v>18</v>
      </c>
      <c r="K181" s="20" t="n">
        <v>22</v>
      </c>
      <c r="L181" s="21" t="n">
        <v>35</v>
      </c>
      <c r="M181" s="22" t="n">
        <v>14</v>
      </c>
      <c r="N181" s="15" t="n">
        <f aca="false">SUMPRODUCT(COUNTIF(G181:L181,번호조회!$B$4:$B$9))</f>
        <v>0</v>
      </c>
    </row>
    <row r="182" customFormat="false" ht="16.5" hidden="false" customHeight="true" outlineLevel="0" collapsed="false">
      <c r="E182" s="1" t="n">
        <f aca="false">$E$13-($F$13-F182)*7</f>
        <v>45031</v>
      </c>
      <c r="F182" s="12" t="n">
        <v>1063</v>
      </c>
      <c r="G182" s="16" t="n">
        <v>3</v>
      </c>
      <c r="H182" s="17" t="n">
        <v>6</v>
      </c>
      <c r="I182" s="18" t="n">
        <v>22</v>
      </c>
      <c r="J182" s="19" t="n">
        <v>23</v>
      </c>
      <c r="K182" s="20" t="n">
        <v>24</v>
      </c>
      <c r="L182" s="21" t="n">
        <v>38</v>
      </c>
      <c r="M182" s="22" t="n">
        <v>30</v>
      </c>
      <c r="N182" s="15" t="n">
        <f aca="false">SUMPRODUCT(COUNTIF(G182:L182,번호조회!$B$4:$B$9))</f>
        <v>0</v>
      </c>
    </row>
    <row r="183" customFormat="false" ht="16.5" hidden="false" customHeight="true" outlineLevel="0" collapsed="false">
      <c r="E183" s="1" t="n">
        <f aca="false">$E$13-($F$13-F183)*7</f>
        <v>45024</v>
      </c>
      <c r="F183" s="12" t="n">
        <v>1062</v>
      </c>
      <c r="G183" s="16" t="n">
        <v>20</v>
      </c>
      <c r="H183" s="17" t="n">
        <v>31</v>
      </c>
      <c r="I183" s="18" t="n">
        <v>32</v>
      </c>
      <c r="J183" s="19" t="n">
        <v>40</v>
      </c>
      <c r="K183" s="20" t="n">
        <v>41</v>
      </c>
      <c r="L183" s="21" t="n">
        <v>45</v>
      </c>
      <c r="M183" s="22" t="n">
        <v>12</v>
      </c>
      <c r="N183" s="15" t="n">
        <f aca="false">SUMPRODUCT(COUNTIF(G183:L183,번호조회!$B$4:$B$9))</f>
        <v>0</v>
      </c>
    </row>
    <row r="184" customFormat="false" ht="16.5" hidden="false" customHeight="true" outlineLevel="0" collapsed="false">
      <c r="E184" s="1" t="n">
        <f aca="false">$E$13-($F$13-F184)*7</f>
        <v>45017</v>
      </c>
      <c r="F184" s="12" t="n">
        <v>1061</v>
      </c>
      <c r="G184" s="16" t="n">
        <v>4</v>
      </c>
      <c r="H184" s="17" t="n">
        <v>24</v>
      </c>
      <c r="I184" s="18" t="n">
        <v>27</v>
      </c>
      <c r="J184" s="19" t="n">
        <v>35</v>
      </c>
      <c r="K184" s="20" t="n">
        <v>37</v>
      </c>
      <c r="L184" s="21" t="n">
        <v>45</v>
      </c>
      <c r="M184" s="22" t="n">
        <v>15</v>
      </c>
      <c r="N184" s="15" t="n">
        <f aca="false">SUMPRODUCT(COUNTIF(G184:L184,번호조회!$B$4:$B$9))</f>
        <v>0</v>
      </c>
    </row>
    <row r="185" customFormat="false" ht="16.5" hidden="false" customHeight="true" outlineLevel="0" collapsed="false">
      <c r="E185" s="1" t="n">
        <f aca="false">$E$13-($F$13-F185)*7</f>
        <v>45010</v>
      </c>
      <c r="F185" s="12" t="n">
        <v>1060</v>
      </c>
      <c r="G185" s="16" t="n">
        <v>3</v>
      </c>
      <c r="H185" s="17" t="n">
        <v>10</v>
      </c>
      <c r="I185" s="18" t="n">
        <v>24</v>
      </c>
      <c r="J185" s="19" t="n">
        <v>33</v>
      </c>
      <c r="K185" s="20" t="n">
        <v>38</v>
      </c>
      <c r="L185" s="21" t="n">
        <v>45</v>
      </c>
      <c r="M185" s="22" t="n">
        <v>36</v>
      </c>
      <c r="N185" s="15" t="n">
        <f aca="false">SUMPRODUCT(COUNTIF(G185:L185,번호조회!$B$4:$B$9))</f>
        <v>0</v>
      </c>
    </row>
    <row r="186" customFormat="false" ht="16.5" hidden="false" customHeight="true" outlineLevel="0" collapsed="false">
      <c r="E186" s="1" t="n">
        <f aca="false">$E$13-($F$13-F186)*7</f>
        <v>45003</v>
      </c>
      <c r="F186" s="12" t="n">
        <v>1059</v>
      </c>
      <c r="G186" s="16" t="n">
        <v>7</v>
      </c>
      <c r="H186" s="17" t="n">
        <v>10</v>
      </c>
      <c r="I186" s="18" t="n">
        <v>22</v>
      </c>
      <c r="J186" s="19" t="n">
        <v>25</v>
      </c>
      <c r="K186" s="20" t="n">
        <v>34</v>
      </c>
      <c r="L186" s="21" t="n">
        <v>40</v>
      </c>
      <c r="M186" s="22" t="n">
        <v>27</v>
      </c>
      <c r="N186" s="15" t="n">
        <f aca="false">SUMPRODUCT(COUNTIF(G186:L186,번호조회!$B$4:$B$9))</f>
        <v>0</v>
      </c>
    </row>
    <row r="187" customFormat="false" ht="16.5" hidden="false" customHeight="true" outlineLevel="0" collapsed="false">
      <c r="E187" s="1" t="n">
        <f aca="false">$E$13-($F$13-F187)*7</f>
        <v>44996</v>
      </c>
      <c r="F187" s="12" t="n">
        <v>1058</v>
      </c>
      <c r="G187" s="16" t="n">
        <v>11</v>
      </c>
      <c r="H187" s="17" t="n">
        <v>23</v>
      </c>
      <c r="I187" s="18" t="n">
        <v>25</v>
      </c>
      <c r="J187" s="19" t="n">
        <v>30</v>
      </c>
      <c r="K187" s="20" t="n">
        <v>32</v>
      </c>
      <c r="L187" s="21" t="n">
        <v>40</v>
      </c>
      <c r="M187" s="22" t="n">
        <v>42</v>
      </c>
      <c r="N187" s="15" t="n">
        <f aca="false">SUMPRODUCT(COUNTIF(G187:L187,번호조회!$B$4:$B$9))</f>
        <v>0</v>
      </c>
    </row>
    <row r="188" customFormat="false" ht="16.5" hidden="false" customHeight="true" outlineLevel="0" collapsed="false">
      <c r="E188" s="1" t="n">
        <f aca="false">$E$13-($F$13-F188)*7</f>
        <v>44989</v>
      </c>
      <c r="F188" s="12" t="n">
        <v>1057</v>
      </c>
      <c r="G188" s="16" t="n">
        <v>8</v>
      </c>
      <c r="H188" s="17" t="n">
        <v>13</v>
      </c>
      <c r="I188" s="18" t="n">
        <v>19</v>
      </c>
      <c r="J188" s="19" t="n">
        <v>27</v>
      </c>
      <c r="K188" s="20" t="n">
        <v>40</v>
      </c>
      <c r="L188" s="21" t="n">
        <v>45</v>
      </c>
      <c r="M188" s="22" t="n">
        <v>12</v>
      </c>
      <c r="N188" s="15" t="n">
        <f aca="false">SUMPRODUCT(COUNTIF(G188:L188,번호조회!$B$4:$B$9))</f>
        <v>0</v>
      </c>
    </row>
    <row r="189" customFormat="false" ht="16.5" hidden="false" customHeight="true" outlineLevel="0" collapsed="false">
      <c r="E189" s="1" t="n">
        <f aca="false">$E$13-($F$13-F189)*7</f>
        <v>44982</v>
      </c>
      <c r="F189" s="12" t="n">
        <v>1056</v>
      </c>
      <c r="G189" s="16" t="n">
        <v>13</v>
      </c>
      <c r="H189" s="17" t="n">
        <v>20</v>
      </c>
      <c r="I189" s="18" t="n">
        <v>24</v>
      </c>
      <c r="J189" s="19" t="n">
        <v>32</v>
      </c>
      <c r="K189" s="20" t="n">
        <v>36</v>
      </c>
      <c r="L189" s="21" t="n">
        <v>45</v>
      </c>
      <c r="M189" s="22" t="n">
        <v>29</v>
      </c>
      <c r="N189" s="15" t="n">
        <f aca="false">SUMPRODUCT(COUNTIF(G189:L189,번호조회!$B$4:$B$9))</f>
        <v>0</v>
      </c>
    </row>
    <row r="190" customFormat="false" ht="16.5" hidden="false" customHeight="true" outlineLevel="0" collapsed="false">
      <c r="E190" s="1" t="n">
        <f aca="false">$E$13-($F$13-F190)*7</f>
        <v>44975</v>
      </c>
      <c r="F190" s="12" t="n">
        <v>1055</v>
      </c>
      <c r="G190" s="16" t="n">
        <v>4</v>
      </c>
      <c r="H190" s="17" t="n">
        <v>7</v>
      </c>
      <c r="I190" s="18" t="n">
        <v>12</v>
      </c>
      <c r="J190" s="19" t="n">
        <v>14</v>
      </c>
      <c r="K190" s="20" t="n">
        <v>22</v>
      </c>
      <c r="L190" s="21" t="n">
        <v>33</v>
      </c>
      <c r="M190" s="22" t="n">
        <v>31</v>
      </c>
      <c r="N190" s="15" t="n">
        <f aca="false">SUMPRODUCT(COUNTIF(G190:L190,번호조회!$B$4:$B$9))</f>
        <v>0</v>
      </c>
    </row>
    <row r="191" customFormat="false" ht="16.5" hidden="false" customHeight="true" outlineLevel="0" collapsed="false">
      <c r="E191" s="1" t="n">
        <f aca="false">$E$13-($F$13-F191)*7</f>
        <v>44968</v>
      </c>
      <c r="F191" s="12" t="n">
        <v>1054</v>
      </c>
      <c r="G191" s="16" t="n">
        <v>14</v>
      </c>
      <c r="H191" s="17" t="n">
        <v>19</v>
      </c>
      <c r="I191" s="18" t="n">
        <v>27</v>
      </c>
      <c r="J191" s="19" t="n">
        <v>28</v>
      </c>
      <c r="K191" s="20" t="n">
        <v>30</v>
      </c>
      <c r="L191" s="21" t="n">
        <v>45</v>
      </c>
      <c r="M191" s="22" t="n">
        <v>33</v>
      </c>
      <c r="N191" s="15" t="n">
        <f aca="false">SUMPRODUCT(COUNTIF(G191:L191,번호조회!$B$4:$B$9))</f>
        <v>0</v>
      </c>
    </row>
    <row r="192" customFormat="false" ht="16.5" hidden="false" customHeight="true" outlineLevel="0" collapsed="false">
      <c r="E192" s="1" t="n">
        <f aca="false">$E$13-($F$13-F192)*7</f>
        <v>44961</v>
      </c>
      <c r="F192" s="12" t="n">
        <v>1053</v>
      </c>
      <c r="G192" s="16" t="n">
        <v>22</v>
      </c>
      <c r="H192" s="17" t="n">
        <v>26</v>
      </c>
      <c r="I192" s="18" t="n">
        <v>29</v>
      </c>
      <c r="J192" s="19" t="n">
        <v>30</v>
      </c>
      <c r="K192" s="20" t="n">
        <v>34</v>
      </c>
      <c r="L192" s="21" t="n">
        <v>45</v>
      </c>
      <c r="M192" s="22" t="n">
        <v>15</v>
      </c>
      <c r="N192" s="15" t="n">
        <f aca="false">SUMPRODUCT(COUNTIF(G192:L192,번호조회!$B$4:$B$9))</f>
        <v>0</v>
      </c>
    </row>
    <row r="193" customFormat="false" ht="16.5" hidden="false" customHeight="true" outlineLevel="0" collapsed="false">
      <c r="E193" s="1" t="n">
        <f aca="false">$E$13-($F$13-F193)*7</f>
        <v>44954</v>
      </c>
      <c r="F193" s="12" t="n">
        <v>1052</v>
      </c>
      <c r="G193" s="16" t="n">
        <v>5</v>
      </c>
      <c r="H193" s="17" t="n">
        <v>17</v>
      </c>
      <c r="I193" s="18" t="n">
        <v>26</v>
      </c>
      <c r="J193" s="19" t="n">
        <v>27</v>
      </c>
      <c r="K193" s="20" t="n">
        <v>35</v>
      </c>
      <c r="L193" s="21" t="n">
        <v>38</v>
      </c>
      <c r="M193" s="22" t="n">
        <v>1</v>
      </c>
      <c r="N193" s="15" t="n">
        <f aca="false">SUMPRODUCT(COUNTIF(G193:L193,번호조회!$B$4:$B$9))</f>
        <v>0</v>
      </c>
    </row>
    <row r="194" customFormat="false" ht="16.5" hidden="false" customHeight="true" outlineLevel="0" collapsed="false">
      <c r="E194" s="1" t="n">
        <f aca="false">$E$13-($F$13-F194)*7</f>
        <v>44947</v>
      </c>
      <c r="F194" s="12" t="n">
        <v>1051</v>
      </c>
      <c r="G194" s="16" t="n">
        <v>21</v>
      </c>
      <c r="H194" s="17" t="n">
        <v>26</v>
      </c>
      <c r="I194" s="18" t="n">
        <v>30</v>
      </c>
      <c r="J194" s="19" t="n">
        <v>32</v>
      </c>
      <c r="K194" s="20" t="n">
        <v>33</v>
      </c>
      <c r="L194" s="21" t="n">
        <v>35</v>
      </c>
      <c r="M194" s="22" t="n">
        <v>44</v>
      </c>
      <c r="N194" s="15" t="n">
        <f aca="false">SUMPRODUCT(COUNTIF(G194:L194,번호조회!$B$4:$B$9))</f>
        <v>0</v>
      </c>
    </row>
    <row r="195" customFormat="false" ht="16.5" hidden="false" customHeight="true" outlineLevel="0" collapsed="false">
      <c r="E195" s="1" t="n">
        <f aca="false">$E$13-($F$13-F195)*7</f>
        <v>44940</v>
      </c>
      <c r="F195" s="12" t="n">
        <v>1050</v>
      </c>
      <c r="G195" s="16" t="n">
        <v>6</v>
      </c>
      <c r="H195" s="17" t="n">
        <v>12</v>
      </c>
      <c r="I195" s="18" t="n">
        <v>31</v>
      </c>
      <c r="J195" s="19" t="n">
        <v>35</v>
      </c>
      <c r="K195" s="20" t="n">
        <v>38</v>
      </c>
      <c r="L195" s="21" t="n">
        <v>43</v>
      </c>
      <c r="M195" s="22" t="n">
        <v>17</v>
      </c>
      <c r="N195" s="15" t="n">
        <f aca="false">SUMPRODUCT(COUNTIF(G195:L195,번호조회!$B$4:$B$9))</f>
        <v>0</v>
      </c>
    </row>
    <row r="196" customFormat="false" ht="16.5" hidden="false" customHeight="true" outlineLevel="0" collapsed="false">
      <c r="E196" s="1" t="n">
        <f aca="false">$E$13-($F$13-F196)*7</f>
        <v>44933</v>
      </c>
      <c r="F196" s="12" t="n">
        <v>1049</v>
      </c>
      <c r="G196" s="16" t="n">
        <v>3</v>
      </c>
      <c r="H196" s="17" t="n">
        <v>5</v>
      </c>
      <c r="I196" s="18" t="n">
        <v>13</v>
      </c>
      <c r="J196" s="19" t="n">
        <v>20</v>
      </c>
      <c r="K196" s="20" t="n">
        <v>21</v>
      </c>
      <c r="L196" s="21" t="n">
        <v>37</v>
      </c>
      <c r="M196" s="22" t="n">
        <v>17</v>
      </c>
      <c r="N196" s="15" t="n">
        <f aca="false">SUMPRODUCT(COUNTIF(G196:L196,번호조회!$B$4:$B$9))</f>
        <v>0</v>
      </c>
    </row>
    <row r="197" customFormat="false" ht="16.5" hidden="false" customHeight="true" outlineLevel="0" collapsed="false">
      <c r="E197" s="1" t="n">
        <f aca="false">$E$13-($F$13-F197)*7</f>
        <v>44926</v>
      </c>
      <c r="F197" s="12" t="n">
        <v>1048</v>
      </c>
      <c r="G197" s="16" t="n">
        <v>6</v>
      </c>
      <c r="H197" s="17" t="n">
        <v>12</v>
      </c>
      <c r="I197" s="18" t="n">
        <v>17</v>
      </c>
      <c r="J197" s="19" t="n">
        <v>21</v>
      </c>
      <c r="K197" s="20" t="n">
        <v>32</v>
      </c>
      <c r="L197" s="21" t="n">
        <v>39</v>
      </c>
      <c r="M197" s="22" t="n">
        <v>30</v>
      </c>
      <c r="N197" s="15" t="n">
        <f aca="false">SUMPRODUCT(COUNTIF(G197:L197,번호조회!$B$4:$B$9))</f>
        <v>0</v>
      </c>
    </row>
    <row r="198" customFormat="false" ht="16.5" hidden="false" customHeight="true" outlineLevel="0" collapsed="false">
      <c r="E198" s="1" t="n">
        <f aca="false">$E$13-($F$13-F198)*7</f>
        <v>44919</v>
      </c>
      <c r="F198" s="12" t="n">
        <v>1047</v>
      </c>
      <c r="G198" s="16" t="n">
        <v>2</v>
      </c>
      <c r="H198" s="17" t="n">
        <v>20</v>
      </c>
      <c r="I198" s="18" t="n">
        <v>33</v>
      </c>
      <c r="J198" s="19" t="n">
        <v>40</v>
      </c>
      <c r="K198" s="20" t="n">
        <v>42</v>
      </c>
      <c r="L198" s="21" t="n">
        <v>44</v>
      </c>
      <c r="M198" s="22" t="n">
        <v>32</v>
      </c>
      <c r="N198" s="15" t="n">
        <f aca="false">SUMPRODUCT(COUNTIF(G198:L198,번호조회!$B$4:$B$9))</f>
        <v>0</v>
      </c>
    </row>
    <row r="199" customFormat="false" ht="16.5" hidden="false" customHeight="true" outlineLevel="0" collapsed="false">
      <c r="E199" s="1" t="n">
        <f aca="false">$E$13-($F$13-F199)*7</f>
        <v>44912</v>
      </c>
      <c r="F199" s="12" t="n">
        <v>1046</v>
      </c>
      <c r="G199" s="16" t="n">
        <v>7</v>
      </c>
      <c r="H199" s="17" t="n">
        <v>16</v>
      </c>
      <c r="I199" s="18" t="n">
        <v>25</v>
      </c>
      <c r="J199" s="19" t="n">
        <v>29</v>
      </c>
      <c r="K199" s="20" t="n">
        <v>35</v>
      </c>
      <c r="L199" s="21" t="n">
        <v>36</v>
      </c>
      <c r="M199" s="22" t="n">
        <v>28</v>
      </c>
      <c r="N199" s="15" t="n">
        <f aca="false">SUMPRODUCT(COUNTIF(G199:L199,번호조회!$B$4:$B$9))</f>
        <v>0</v>
      </c>
    </row>
    <row r="200" customFormat="false" ht="16.5" hidden="false" customHeight="true" outlineLevel="0" collapsed="false">
      <c r="E200" s="1" t="n">
        <f aca="false">$E$13-($F$13-F200)*7</f>
        <v>44905</v>
      </c>
      <c r="F200" s="12" t="n">
        <v>1045</v>
      </c>
      <c r="G200" s="16" t="n">
        <v>6</v>
      </c>
      <c r="H200" s="17" t="n">
        <v>14</v>
      </c>
      <c r="I200" s="18" t="n">
        <v>15</v>
      </c>
      <c r="J200" s="19" t="n">
        <v>19</v>
      </c>
      <c r="K200" s="20" t="n">
        <v>21</v>
      </c>
      <c r="L200" s="21" t="n">
        <v>41</v>
      </c>
      <c r="M200" s="22" t="n">
        <v>37</v>
      </c>
      <c r="N200" s="15" t="n">
        <f aca="false">SUMPRODUCT(COUNTIF(G200:L200,번호조회!$B$4:$B$9))</f>
        <v>0</v>
      </c>
    </row>
    <row r="201" customFormat="false" ht="16.5" hidden="false" customHeight="true" outlineLevel="0" collapsed="false">
      <c r="E201" s="1" t="n">
        <f aca="false">$E$13-($F$13-F201)*7</f>
        <v>44898</v>
      </c>
      <c r="F201" s="12" t="n">
        <v>1044</v>
      </c>
      <c r="G201" s="16" t="n">
        <v>12</v>
      </c>
      <c r="H201" s="17" t="n">
        <v>17</v>
      </c>
      <c r="I201" s="18" t="n">
        <v>20</v>
      </c>
      <c r="J201" s="19" t="n">
        <v>26</v>
      </c>
      <c r="K201" s="20" t="n">
        <v>28</v>
      </c>
      <c r="L201" s="21" t="n">
        <v>36</v>
      </c>
      <c r="M201" s="22" t="n">
        <v>4</v>
      </c>
      <c r="N201" s="15" t="n">
        <f aca="false">SUMPRODUCT(COUNTIF(G201:L201,번호조회!$B$4:$B$9))</f>
        <v>0</v>
      </c>
    </row>
    <row r="202" customFormat="false" ht="16.5" hidden="false" customHeight="true" outlineLevel="0" collapsed="false">
      <c r="E202" s="1" t="n">
        <f aca="false">$E$13-($F$13-F202)*7</f>
        <v>44891</v>
      </c>
      <c r="F202" s="12" t="n">
        <v>1043</v>
      </c>
      <c r="G202" s="16" t="n">
        <v>3</v>
      </c>
      <c r="H202" s="17" t="n">
        <v>5</v>
      </c>
      <c r="I202" s="18" t="n">
        <v>12</v>
      </c>
      <c r="J202" s="19" t="n">
        <v>22</v>
      </c>
      <c r="K202" s="20" t="n">
        <v>26</v>
      </c>
      <c r="L202" s="21" t="n">
        <v>31</v>
      </c>
      <c r="M202" s="22" t="n">
        <v>19</v>
      </c>
      <c r="N202" s="15" t="n">
        <f aca="false">SUMPRODUCT(COUNTIF(G202:L202,번호조회!$B$4:$B$9))</f>
        <v>0</v>
      </c>
    </row>
    <row r="203" customFormat="false" ht="16.5" hidden="false" customHeight="true" outlineLevel="0" collapsed="false">
      <c r="E203" s="1" t="n">
        <f aca="false">$E$13-($F$13-F203)*7</f>
        <v>44884</v>
      </c>
      <c r="F203" s="12" t="n">
        <v>1042</v>
      </c>
      <c r="G203" s="16" t="n">
        <v>5</v>
      </c>
      <c r="H203" s="17" t="n">
        <v>14</v>
      </c>
      <c r="I203" s="18" t="n">
        <v>15</v>
      </c>
      <c r="J203" s="19" t="n">
        <v>23</v>
      </c>
      <c r="K203" s="20" t="n">
        <v>34</v>
      </c>
      <c r="L203" s="21" t="n">
        <v>43</v>
      </c>
      <c r="M203" s="22" t="n">
        <v>4</v>
      </c>
      <c r="N203" s="15" t="n">
        <f aca="false">SUMPRODUCT(COUNTIF(G203:L203,번호조회!$B$4:$B$9))</f>
        <v>0</v>
      </c>
    </row>
    <row r="204" customFormat="false" ht="16.5" hidden="false" customHeight="true" outlineLevel="0" collapsed="false">
      <c r="E204" s="1" t="n">
        <f aca="false">$E$13-($F$13-F204)*7</f>
        <v>44877</v>
      </c>
      <c r="F204" s="12" t="n">
        <v>1041</v>
      </c>
      <c r="G204" s="16" t="n">
        <v>6</v>
      </c>
      <c r="H204" s="17" t="n">
        <v>7</v>
      </c>
      <c r="I204" s="18" t="n">
        <v>9</v>
      </c>
      <c r="J204" s="19" t="n">
        <v>11</v>
      </c>
      <c r="K204" s="20" t="n">
        <v>17</v>
      </c>
      <c r="L204" s="21" t="n">
        <v>18</v>
      </c>
      <c r="M204" s="22" t="n">
        <v>45</v>
      </c>
      <c r="N204" s="15" t="n">
        <f aca="false">SUMPRODUCT(COUNTIF(G204:L204,번호조회!$B$4:$B$9))</f>
        <v>0</v>
      </c>
    </row>
    <row r="205" customFormat="false" ht="16.5" hidden="false" customHeight="true" outlineLevel="0" collapsed="false">
      <c r="E205" s="1" t="n">
        <f aca="false">$E$13-($F$13-F205)*7</f>
        <v>44870</v>
      </c>
      <c r="F205" s="12" t="n">
        <v>1040</v>
      </c>
      <c r="G205" s="16" t="n">
        <v>8</v>
      </c>
      <c r="H205" s="17" t="n">
        <v>16</v>
      </c>
      <c r="I205" s="18" t="n">
        <v>26</v>
      </c>
      <c r="J205" s="19" t="n">
        <v>29</v>
      </c>
      <c r="K205" s="20" t="n">
        <v>31</v>
      </c>
      <c r="L205" s="21" t="n">
        <v>36</v>
      </c>
      <c r="M205" s="22" t="n">
        <v>11</v>
      </c>
      <c r="N205" s="15" t="n">
        <f aca="false">SUMPRODUCT(COUNTIF(G205:L205,번호조회!$B$4:$B$9))</f>
        <v>0</v>
      </c>
    </row>
    <row r="206" customFormat="false" ht="16.5" hidden="false" customHeight="true" outlineLevel="0" collapsed="false">
      <c r="E206" s="1" t="n">
        <f aca="false">$E$13-($F$13-F206)*7</f>
        <v>44863</v>
      </c>
      <c r="F206" s="12" t="n">
        <v>1039</v>
      </c>
      <c r="G206" s="16" t="n">
        <v>2</v>
      </c>
      <c r="H206" s="17" t="n">
        <v>3</v>
      </c>
      <c r="I206" s="18" t="n">
        <v>6</v>
      </c>
      <c r="J206" s="19" t="n">
        <v>19</v>
      </c>
      <c r="K206" s="20" t="n">
        <v>36</v>
      </c>
      <c r="L206" s="21" t="n">
        <v>39</v>
      </c>
      <c r="M206" s="22" t="n">
        <v>26</v>
      </c>
      <c r="N206" s="15" t="n">
        <f aca="false">SUMPRODUCT(COUNTIF(G206:L206,번호조회!$B$4:$B$9))</f>
        <v>0</v>
      </c>
    </row>
    <row r="207" customFormat="false" ht="16.5" hidden="false" customHeight="true" outlineLevel="0" collapsed="false">
      <c r="E207" s="1" t="n">
        <f aca="false">$E$13-($F$13-F207)*7</f>
        <v>44856</v>
      </c>
      <c r="F207" s="12" t="n">
        <v>1038</v>
      </c>
      <c r="G207" s="16" t="n">
        <v>7</v>
      </c>
      <c r="H207" s="17" t="n">
        <v>16</v>
      </c>
      <c r="I207" s="18" t="n">
        <v>24</v>
      </c>
      <c r="J207" s="19" t="n">
        <v>27</v>
      </c>
      <c r="K207" s="20" t="n">
        <v>37</v>
      </c>
      <c r="L207" s="21" t="n">
        <v>44</v>
      </c>
      <c r="M207" s="22" t="n">
        <v>2</v>
      </c>
      <c r="N207" s="15" t="n">
        <f aca="false">SUMPRODUCT(COUNTIF(G207:L207,번호조회!$B$4:$B$9))</f>
        <v>0</v>
      </c>
    </row>
    <row r="208" customFormat="false" ht="16.5" hidden="false" customHeight="true" outlineLevel="0" collapsed="false">
      <c r="E208" s="1" t="n">
        <f aca="false">$E$13-($F$13-F208)*7</f>
        <v>44849</v>
      </c>
      <c r="F208" s="12" t="n">
        <v>1037</v>
      </c>
      <c r="G208" s="16" t="n">
        <v>2</v>
      </c>
      <c r="H208" s="17" t="n">
        <v>14</v>
      </c>
      <c r="I208" s="18" t="n">
        <v>15</v>
      </c>
      <c r="J208" s="19" t="n">
        <v>22</v>
      </c>
      <c r="K208" s="20" t="n">
        <v>27</v>
      </c>
      <c r="L208" s="21" t="n">
        <v>33</v>
      </c>
      <c r="M208" s="22" t="n">
        <v>31</v>
      </c>
      <c r="N208" s="15" t="n">
        <f aca="false">SUMPRODUCT(COUNTIF(G208:L208,번호조회!$B$4:$B$9))</f>
        <v>0</v>
      </c>
    </row>
    <row r="209" customFormat="false" ht="16.5" hidden="false" customHeight="true" outlineLevel="0" collapsed="false">
      <c r="E209" s="1" t="n">
        <f aca="false">$E$13-($F$13-F209)*7</f>
        <v>44842</v>
      </c>
      <c r="F209" s="12" t="n">
        <v>1036</v>
      </c>
      <c r="G209" s="16" t="n">
        <v>2</v>
      </c>
      <c r="H209" s="17" t="n">
        <v>5</v>
      </c>
      <c r="I209" s="18" t="n">
        <v>22</v>
      </c>
      <c r="J209" s="19" t="n">
        <v>32</v>
      </c>
      <c r="K209" s="20" t="n">
        <v>34</v>
      </c>
      <c r="L209" s="21" t="n">
        <v>45</v>
      </c>
      <c r="M209" s="22" t="n">
        <v>39</v>
      </c>
      <c r="N209" s="15" t="n">
        <f aca="false">SUMPRODUCT(COUNTIF(G209:L209,번호조회!$B$4:$B$9))</f>
        <v>0</v>
      </c>
    </row>
    <row r="210" customFormat="false" ht="16.5" hidden="false" customHeight="true" outlineLevel="0" collapsed="false">
      <c r="E210" s="1" t="n">
        <f aca="false">$E$13-($F$13-F210)*7</f>
        <v>44835</v>
      </c>
      <c r="F210" s="12" t="n">
        <v>1035</v>
      </c>
      <c r="G210" s="16" t="n">
        <v>9</v>
      </c>
      <c r="H210" s="17" t="n">
        <v>14</v>
      </c>
      <c r="I210" s="18" t="n">
        <v>34</v>
      </c>
      <c r="J210" s="19" t="n">
        <v>35</v>
      </c>
      <c r="K210" s="20" t="n">
        <v>41</v>
      </c>
      <c r="L210" s="21" t="n">
        <v>42</v>
      </c>
      <c r="M210" s="22" t="n">
        <v>2</v>
      </c>
      <c r="N210" s="15" t="n">
        <f aca="false">SUMPRODUCT(COUNTIF(G210:L210,번호조회!$B$4:$B$9))</f>
        <v>0</v>
      </c>
    </row>
    <row r="211" customFormat="false" ht="16.5" hidden="false" customHeight="true" outlineLevel="0" collapsed="false">
      <c r="E211" s="1" t="n">
        <f aca="false">$E$13-($F$13-F211)*7</f>
        <v>44828</v>
      </c>
      <c r="F211" s="12" t="n">
        <v>1034</v>
      </c>
      <c r="G211" s="16" t="n">
        <v>26</v>
      </c>
      <c r="H211" s="17" t="n">
        <v>31</v>
      </c>
      <c r="I211" s="18" t="n">
        <v>32</v>
      </c>
      <c r="J211" s="19" t="n">
        <v>33</v>
      </c>
      <c r="K211" s="20" t="n">
        <v>38</v>
      </c>
      <c r="L211" s="21" t="n">
        <v>40</v>
      </c>
      <c r="M211" s="22" t="n">
        <v>11</v>
      </c>
      <c r="N211" s="15" t="n">
        <f aca="false">SUMPRODUCT(COUNTIF(G211:L211,번호조회!$B$4:$B$9))</f>
        <v>0</v>
      </c>
    </row>
    <row r="212" customFormat="false" ht="16.5" hidden="false" customHeight="true" outlineLevel="0" collapsed="false">
      <c r="E212" s="1" t="n">
        <f aca="false">$E$13-($F$13-F212)*7</f>
        <v>44821</v>
      </c>
      <c r="F212" s="12" t="n">
        <v>1033</v>
      </c>
      <c r="G212" s="16" t="n">
        <v>3</v>
      </c>
      <c r="H212" s="17" t="n">
        <v>11</v>
      </c>
      <c r="I212" s="18" t="n">
        <v>15</v>
      </c>
      <c r="J212" s="19" t="n">
        <v>20</v>
      </c>
      <c r="K212" s="20" t="n">
        <v>35</v>
      </c>
      <c r="L212" s="21" t="n">
        <v>44</v>
      </c>
      <c r="M212" s="22" t="n">
        <v>10</v>
      </c>
      <c r="N212" s="15" t="n">
        <f aca="false">SUMPRODUCT(COUNTIF(G212:L212,번호조회!$B$4:$B$9))</f>
        <v>0</v>
      </c>
    </row>
    <row r="213" customFormat="false" ht="16.5" hidden="false" customHeight="true" outlineLevel="0" collapsed="false">
      <c r="E213" s="1" t="n">
        <f aca="false">$E$13-($F$13-F213)*7</f>
        <v>44814</v>
      </c>
      <c r="F213" s="12" t="n">
        <v>1032</v>
      </c>
      <c r="G213" s="16" t="n">
        <v>1</v>
      </c>
      <c r="H213" s="17" t="n">
        <v>6</v>
      </c>
      <c r="I213" s="18" t="n">
        <v>12</v>
      </c>
      <c r="J213" s="19" t="n">
        <v>19</v>
      </c>
      <c r="K213" s="20" t="n">
        <v>36</v>
      </c>
      <c r="L213" s="21" t="n">
        <v>42</v>
      </c>
      <c r="M213" s="22" t="n">
        <v>28</v>
      </c>
      <c r="N213" s="15" t="n">
        <f aca="false">SUMPRODUCT(COUNTIF(G213:L213,번호조회!$B$4:$B$9))</f>
        <v>0</v>
      </c>
    </row>
    <row r="214" customFormat="false" ht="16.5" hidden="false" customHeight="true" outlineLevel="0" collapsed="false">
      <c r="E214" s="1" t="n">
        <f aca="false">$E$13-($F$13-F214)*7</f>
        <v>44807</v>
      </c>
      <c r="F214" s="12" t="n">
        <v>1031</v>
      </c>
      <c r="G214" s="16" t="n">
        <v>6</v>
      </c>
      <c r="H214" s="17" t="n">
        <v>7</v>
      </c>
      <c r="I214" s="18" t="n">
        <v>22</v>
      </c>
      <c r="J214" s="19" t="n">
        <v>32</v>
      </c>
      <c r="K214" s="20" t="n">
        <v>35</v>
      </c>
      <c r="L214" s="21" t="n">
        <v>36</v>
      </c>
      <c r="M214" s="22" t="n">
        <v>19</v>
      </c>
      <c r="N214" s="15" t="n">
        <f aca="false">SUMPRODUCT(COUNTIF(G214:L214,번호조회!$B$4:$B$9))</f>
        <v>0</v>
      </c>
    </row>
    <row r="215" customFormat="false" ht="16.5" hidden="false" customHeight="true" outlineLevel="0" collapsed="false">
      <c r="E215" s="1" t="n">
        <f aca="false">$E$13-($F$13-F215)*7</f>
        <v>44800</v>
      </c>
      <c r="F215" s="12" t="n">
        <v>1030</v>
      </c>
      <c r="G215" s="16" t="n">
        <v>2</v>
      </c>
      <c r="H215" s="17" t="n">
        <v>5</v>
      </c>
      <c r="I215" s="18" t="n">
        <v>11</v>
      </c>
      <c r="J215" s="19" t="n">
        <v>17</v>
      </c>
      <c r="K215" s="20" t="n">
        <v>24</v>
      </c>
      <c r="L215" s="21" t="n">
        <v>29</v>
      </c>
      <c r="M215" s="22" t="n">
        <v>9</v>
      </c>
      <c r="N215" s="15" t="n">
        <f aca="false">SUMPRODUCT(COUNTIF(G215:L215,번호조회!$B$4:$B$9))</f>
        <v>0</v>
      </c>
    </row>
    <row r="216" customFormat="false" ht="16.5" hidden="false" customHeight="true" outlineLevel="0" collapsed="false">
      <c r="E216" s="1" t="n">
        <f aca="false">$E$13-($F$13-F216)*7</f>
        <v>44793</v>
      </c>
      <c r="F216" s="12" t="n">
        <v>1029</v>
      </c>
      <c r="G216" s="16" t="n">
        <v>12</v>
      </c>
      <c r="H216" s="17" t="n">
        <v>30</v>
      </c>
      <c r="I216" s="18" t="n">
        <v>32</v>
      </c>
      <c r="J216" s="19" t="n">
        <v>37</v>
      </c>
      <c r="K216" s="20" t="n">
        <v>39</v>
      </c>
      <c r="L216" s="21" t="n">
        <v>41</v>
      </c>
      <c r="M216" s="22" t="n">
        <v>24</v>
      </c>
      <c r="N216" s="15" t="n">
        <f aca="false">SUMPRODUCT(COUNTIF(G216:L216,번호조회!$B$4:$B$9))</f>
        <v>0</v>
      </c>
    </row>
    <row r="217" customFormat="false" ht="16.5" hidden="false" customHeight="true" outlineLevel="0" collapsed="false">
      <c r="E217" s="1" t="n">
        <f aca="false">$E$13-($F$13-F217)*7</f>
        <v>44786</v>
      </c>
      <c r="F217" s="12" t="n">
        <v>1028</v>
      </c>
      <c r="G217" s="16" t="n">
        <v>5</v>
      </c>
      <c r="H217" s="17" t="n">
        <v>7</v>
      </c>
      <c r="I217" s="18" t="n">
        <v>12</v>
      </c>
      <c r="J217" s="19" t="n">
        <v>13</v>
      </c>
      <c r="K217" s="20" t="n">
        <v>18</v>
      </c>
      <c r="L217" s="21" t="n">
        <v>35</v>
      </c>
      <c r="M217" s="22" t="n">
        <v>23</v>
      </c>
      <c r="N217" s="15" t="n">
        <f aca="false">SUMPRODUCT(COUNTIF(G217:L217,번호조회!$B$4:$B$9))</f>
        <v>0</v>
      </c>
    </row>
    <row r="218" customFormat="false" ht="16.5" hidden="false" customHeight="true" outlineLevel="0" collapsed="false">
      <c r="E218" s="1" t="n">
        <f aca="false">$E$13-($F$13-F218)*7</f>
        <v>44779</v>
      </c>
      <c r="F218" s="12" t="n">
        <v>1027</v>
      </c>
      <c r="G218" s="16" t="n">
        <v>14</v>
      </c>
      <c r="H218" s="17" t="n">
        <v>16</v>
      </c>
      <c r="I218" s="18" t="n">
        <v>27</v>
      </c>
      <c r="J218" s="19" t="n">
        <v>35</v>
      </c>
      <c r="K218" s="20" t="n">
        <v>39</v>
      </c>
      <c r="L218" s="21" t="n">
        <v>45</v>
      </c>
      <c r="M218" s="22" t="n">
        <v>5</v>
      </c>
      <c r="N218" s="15" t="n">
        <f aca="false">SUMPRODUCT(COUNTIF(G218:L218,번호조회!$B$4:$B$9))</f>
        <v>0</v>
      </c>
    </row>
    <row r="219" customFormat="false" ht="16.5" hidden="false" customHeight="true" outlineLevel="0" collapsed="false">
      <c r="E219" s="1" t="n">
        <f aca="false">$E$13-($F$13-F219)*7</f>
        <v>44772</v>
      </c>
      <c r="F219" s="12" t="n">
        <v>1026</v>
      </c>
      <c r="G219" s="16" t="n">
        <v>5</v>
      </c>
      <c r="H219" s="17" t="n">
        <v>12</v>
      </c>
      <c r="I219" s="18" t="n">
        <v>13</v>
      </c>
      <c r="J219" s="19" t="n">
        <v>31</v>
      </c>
      <c r="K219" s="20" t="n">
        <v>32</v>
      </c>
      <c r="L219" s="21" t="n">
        <v>41</v>
      </c>
      <c r="M219" s="22" t="n">
        <v>34</v>
      </c>
      <c r="N219" s="15" t="n">
        <f aca="false">SUMPRODUCT(COUNTIF(G219:L219,번호조회!$B$4:$B$9))</f>
        <v>0</v>
      </c>
    </row>
    <row r="220" customFormat="false" ht="16.5" hidden="false" customHeight="true" outlineLevel="0" collapsed="false">
      <c r="E220" s="1" t="n">
        <f aca="false">$E$13-($F$13-F220)*7</f>
        <v>44765</v>
      </c>
      <c r="F220" s="12" t="n">
        <v>1025</v>
      </c>
      <c r="G220" s="16" t="n">
        <v>8</v>
      </c>
      <c r="H220" s="17" t="n">
        <v>9</v>
      </c>
      <c r="I220" s="18" t="n">
        <v>20</v>
      </c>
      <c r="J220" s="19" t="n">
        <v>25</v>
      </c>
      <c r="K220" s="20" t="n">
        <v>29</v>
      </c>
      <c r="L220" s="21" t="n">
        <v>33</v>
      </c>
      <c r="M220" s="22" t="n">
        <v>7</v>
      </c>
      <c r="N220" s="15" t="n">
        <f aca="false">SUMPRODUCT(COUNTIF(G220:L220,번호조회!$B$4:$B$9))</f>
        <v>0</v>
      </c>
    </row>
    <row r="221" customFormat="false" ht="16.5" hidden="false" customHeight="true" outlineLevel="0" collapsed="false">
      <c r="E221" s="1" t="n">
        <f aca="false">$E$13-($F$13-F221)*7</f>
        <v>44758</v>
      </c>
      <c r="F221" s="12" t="n">
        <v>1024</v>
      </c>
      <c r="G221" s="16" t="n">
        <v>9</v>
      </c>
      <c r="H221" s="17" t="n">
        <v>18</v>
      </c>
      <c r="I221" s="18" t="n">
        <v>20</v>
      </c>
      <c r="J221" s="19" t="n">
        <v>22</v>
      </c>
      <c r="K221" s="20" t="n">
        <v>38</v>
      </c>
      <c r="L221" s="21" t="n">
        <v>44</v>
      </c>
      <c r="M221" s="22" t="n">
        <v>10</v>
      </c>
      <c r="N221" s="15" t="n">
        <f aca="false">SUMPRODUCT(COUNTIF(G221:L221,번호조회!$B$4:$B$9))</f>
        <v>0</v>
      </c>
    </row>
    <row r="222" customFormat="false" ht="16.5" hidden="false" customHeight="true" outlineLevel="0" collapsed="false">
      <c r="E222" s="1" t="n">
        <f aca="false">$E$13-($F$13-F222)*7</f>
        <v>44751</v>
      </c>
      <c r="F222" s="12" t="n">
        <v>1023</v>
      </c>
      <c r="G222" s="16" t="n">
        <v>10</v>
      </c>
      <c r="H222" s="17" t="n">
        <v>14</v>
      </c>
      <c r="I222" s="18" t="n">
        <v>16</v>
      </c>
      <c r="J222" s="19" t="n">
        <v>18</v>
      </c>
      <c r="K222" s="20" t="n">
        <v>29</v>
      </c>
      <c r="L222" s="21" t="n">
        <v>35</v>
      </c>
      <c r="M222" s="22" t="n">
        <v>25</v>
      </c>
      <c r="N222" s="15" t="n">
        <f aca="false">SUMPRODUCT(COUNTIF(G222:L222,번호조회!$B$4:$B$9))</f>
        <v>0</v>
      </c>
    </row>
    <row r="223" customFormat="false" ht="16.5" hidden="false" customHeight="true" outlineLevel="0" collapsed="false">
      <c r="E223" s="1" t="n">
        <f aca="false">$E$13-($F$13-F223)*7</f>
        <v>44744</v>
      </c>
      <c r="F223" s="12" t="n">
        <v>1022</v>
      </c>
      <c r="G223" s="16" t="n">
        <v>5</v>
      </c>
      <c r="H223" s="17" t="n">
        <v>6</v>
      </c>
      <c r="I223" s="18" t="n">
        <v>11</v>
      </c>
      <c r="J223" s="19" t="n">
        <v>29</v>
      </c>
      <c r="K223" s="20" t="n">
        <v>42</v>
      </c>
      <c r="L223" s="21" t="n">
        <v>45</v>
      </c>
      <c r="M223" s="22" t="n">
        <v>28</v>
      </c>
      <c r="N223" s="15" t="n">
        <f aca="false">SUMPRODUCT(COUNTIF(G223:L223,번호조회!$B$4:$B$9))</f>
        <v>0</v>
      </c>
    </row>
    <row r="224" customFormat="false" ht="16.5" hidden="false" customHeight="true" outlineLevel="0" collapsed="false">
      <c r="E224" s="1" t="n">
        <f aca="false">$E$13-($F$13-F224)*7</f>
        <v>44737</v>
      </c>
      <c r="F224" s="12" t="n">
        <v>1021</v>
      </c>
      <c r="G224" s="16" t="n">
        <v>12</v>
      </c>
      <c r="H224" s="17" t="n">
        <v>15</v>
      </c>
      <c r="I224" s="18" t="n">
        <v>17</v>
      </c>
      <c r="J224" s="19" t="n">
        <v>24</v>
      </c>
      <c r="K224" s="20" t="n">
        <v>29</v>
      </c>
      <c r="L224" s="21" t="n">
        <v>45</v>
      </c>
      <c r="M224" s="22" t="n">
        <v>16</v>
      </c>
      <c r="N224" s="15" t="n">
        <f aca="false">SUMPRODUCT(COUNTIF(G224:L224,번호조회!$B$4:$B$9))</f>
        <v>0</v>
      </c>
    </row>
    <row r="225" customFormat="false" ht="16.5" hidden="false" customHeight="true" outlineLevel="0" collapsed="false">
      <c r="E225" s="1" t="n">
        <f aca="false">$E$13-($F$13-F225)*7</f>
        <v>44730</v>
      </c>
      <c r="F225" s="12" t="n">
        <v>1020</v>
      </c>
      <c r="G225" s="16" t="n">
        <v>12</v>
      </c>
      <c r="H225" s="17" t="n">
        <v>27</v>
      </c>
      <c r="I225" s="18" t="n">
        <v>29</v>
      </c>
      <c r="J225" s="19" t="n">
        <v>38</v>
      </c>
      <c r="K225" s="20" t="n">
        <v>41</v>
      </c>
      <c r="L225" s="21" t="n">
        <v>45</v>
      </c>
      <c r="M225" s="22" t="n">
        <v>6</v>
      </c>
      <c r="N225" s="15" t="n">
        <f aca="false">SUMPRODUCT(COUNTIF(G225:L225,번호조회!$B$4:$B$9))</f>
        <v>0</v>
      </c>
    </row>
    <row r="226" customFormat="false" ht="16.5" hidden="false" customHeight="true" outlineLevel="0" collapsed="false">
      <c r="E226" s="1" t="n">
        <f aca="false">$E$13-($F$13-F226)*7</f>
        <v>44723</v>
      </c>
      <c r="F226" s="12" t="n">
        <v>1019</v>
      </c>
      <c r="G226" s="16" t="n">
        <v>1</v>
      </c>
      <c r="H226" s="17" t="n">
        <v>4</v>
      </c>
      <c r="I226" s="18" t="n">
        <v>13</v>
      </c>
      <c r="J226" s="19" t="n">
        <v>17</v>
      </c>
      <c r="K226" s="20" t="n">
        <v>34</v>
      </c>
      <c r="L226" s="21" t="n">
        <v>39</v>
      </c>
      <c r="M226" s="22" t="n">
        <v>6</v>
      </c>
      <c r="N226" s="15" t="n">
        <f aca="false">SUMPRODUCT(COUNTIF(G226:L226,번호조회!$B$4:$B$9))</f>
        <v>0</v>
      </c>
    </row>
    <row r="227" customFormat="false" ht="16.5" hidden="false" customHeight="true" outlineLevel="0" collapsed="false">
      <c r="E227" s="1" t="n">
        <f aca="false">$E$13-($F$13-F227)*7</f>
        <v>44716</v>
      </c>
      <c r="F227" s="12" t="n">
        <v>1018</v>
      </c>
      <c r="G227" s="16" t="n">
        <v>3</v>
      </c>
      <c r="H227" s="17" t="n">
        <v>19</v>
      </c>
      <c r="I227" s="18" t="n">
        <v>21</v>
      </c>
      <c r="J227" s="19" t="n">
        <v>25</v>
      </c>
      <c r="K227" s="20" t="n">
        <v>37</v>
      </c>
      <c r="L227" s="21" t="n">
        <v>45</v>
      </c>
      <c r="M227" s="22" t="n">
        <v>35</v>
      </c>
      <c r="N227" s="15" t="n">
        <f aca="false">SUMPRODUCT(COUNTIF(G227:L227,번호조회!$B$4:$B$9))</f>
        <v>0</v>
      </c>
    </row>
    <row r="228" customFormat="false" ht="16.5" hidden="false" customHeight="true" outlineLevel="0" collapsed="false">
      <c r="E228" s="1" t="n">
        <f aca="false">$E$13-($F$13-F228)*7</f>
        <v>44709</v>
      </c>
      <c r="F228" s="12" t="n">
        <v>1017</v>
      </c>
      <c r="G228" s="16" t="n">
        <v>12</v>
      </c>
      <c r="H228" s="17" t="n">
        <v>18</v>
      </c>
      <c r="I228" s="18" t="n">
        <v>22</v>
      </c>
      <c r="J228" s="19" t="n">
        <v>23</v>
      </c>
      <c r="K228" s="20" t="n">
        <v>30</v>
      </c>
      <c r="L228" s="21" t="n">
        <v>34</v>
      </c>
      <c r="M228" s="22" t="n">
        <v>32</v>
      </c>
      <c r="N228" s="15" t="n">
        <f aca="false">SUMPRODUCT(COUNTIF(G228:L228,번호조회!$B$4:$B$9))</f>
        <v>0</v>
      </c>
    </row>
    <row r="229" customFormat="false" ht="16.5" hidden="false" customHeight="true" outlineLevel="0" collapsed="false">
      <c r="E229" s="1" t="n">
        <f aca="false">$E$13-($F$13-F229)*7</f>
        <v>44702</v>
      </c>
      <c r="F229" s="12" t="n">
        <v>1016</v>
      </c>
      <c r="G229" s="16" t="n">
        <v>15</v>
      </c>
      <c r="H229" s="17" t="n">
        <v>26</v>
      </c>
      <c r="I229" s="18" t="n">
        <v>28</v>
      </c>
      <c r="J229" s="19" t="n">
        <v>34</v>
      </c>
      <c r="K229" s="20" t="n">
        <v>41</v>
      </c>
      <c r="L229" s="21" t="n">
        <v>42</v>
      </c>
      <c r="M229" s="22" t="n">
        <v>44</v>
      </c>
      <c r="N229" s="15" t="n">
        <f aca="false">SUMPRODUCT(COUNTIF(G229:L229,번호조회!$B$4:$B$9))</f>
        <v>0</v>
      </c>
    </row>
    <row r="230" customFormat="false" ht="16.5" hidden="false" customHeight="true" outlineLevel="0" collapsed="false">
      <c r="E230" s="1" t="n">
        <f aca="false">$E$13-($F$13-F230)*7</f>
        <v>44695</v>
      </c>
      <c r="F230" s="12" t="n">
        <v>1015</v>
      </c>
      <c r="G230" s="16" t="n">
        <v>14</v>
      </c>
      <c r="H230" s="17" t="n">
        <v>23</v>
      </c>
      <c r="I230" s="18" t="n">
        <v>31</v>
      </c>
      <c r="J230" s="19" t="n">
        <v>33</v>
      </c>
      <c r="K230" s="20" t="n">
        <v>37</v>
      </c>
      <c r="L230" s="21" t="n">
        <v>40</v>
      </c>
      <c r="M230" s="22" t="n">
        <v>44</v>
      </c>
      <c r="N230" s="15" t="n">
        <f aca="false">SUMPRODUCT(COUNTIF(G230:L230,번호조회!$B$4:$B$9))</f>
        <v>0</v>
      </c>
    </row>
    <row r="231" customFormat="false" ht="16.5" hidden="false" customHeight="true" outlineLevel="0" collapsed="false">
      <c r="E231" s="1" t="n">
        <f aca="false">$E$13-($F$13-F231)*7</f>
        <v>44688</v>
      </c>
      <c r="F231" s="12" t="n">
        <v>1014</v>
      </c>
      <c r="G231" s="16" t="n">
        <v>3</v>
      </c>
      <c r="H231" s="17" t="n">
        <v>11</v>
      </c>
      <c r="I231" s="18" t="n">
        <v>14</v>
      </c>
      <c r="J231" s="19" t="n">
        <v>18</v>
      </c>
      <c r="K231" s="20" t="n">
        <v>26</v>
      </c>
      <c r="L231" s="21" t="n">
        <v>27</v>
      </c>
      <c r="M231" s="22" t="n">
        <v>21</v>
      </c>
      <c r="N231" s="15" t="n">
        <f aca="false">SUMPRODUCT(COUNTIF(G231:L231,번호조회!$B$4:$B$9))</f>
        <v>0</v>
      </c>
    </row>
    <row r="232" customFormat="false" ht="16.5" hidden="false" customHeight="true" outlineLevel="0" collapsed="false">
      <c r="E232" s="1" t="n">
        <f aca="false">$E$13-($F$13-F232)*7</f>
        <v>44681</v>
      </c>
      <c r="F232" s="12" t="n">
        <v>1013</v>
      </c>
      <c r="G232" s="16" t="n">
        <v>21</v>
      </c>
      <c r="H232" s="17" t="n">
        <v>22</v>
      </c>
      <c r="I232" s="18" t="n">
        <v>26</v>
      </c>
      <c r="J232" s="19" t="n">
        <v>34</v>
      </c>
      <c r="K232" s="20" t="n">
        <v>36</v>
      </c>
      <c r="L232" s="21" t="n">
        <v>41</v>
      </c>
      <c r="M232" s="22" t="n">
        <v>32</v>
      </c>
      <c r="N232" s="15" t="n">
        <f aca="false">SUMPRODUCT(COUNTIF(G232:L232,번호조회!$B$4:$B$9))</f>
        <v>0</v>
      </c>
    </row>
    <row r="233" customFormat="false" ht="16.5" hidden="false" customHeight="true" outlineLevel="0" collapsed="false">
      <c r="E233" s="1" t="n">
        <f aca="false">$E$13-($F$13-F233)*7</f>
        <v>44674</v>
      </c>
      <c r="F233" s="12" t="n">
        <v>1012</v>
      </c>
      <c r="G233" s="16" t="n">
        <v>5</v>
      </c>
      <c r="H233" s="17" t="n">
        <v>11</v>
      </c>
      <c r="I233" s="18" t="n">
        <v>18</v>
      </c>
      <c r="J233" s="19" t="n">
        <v>20</v>
      </c>
      <c r="K233" s="20" t="n">
        <v>35</v>
      </c>
      <c r="L233" s="21" t="n">
        <v>45</v>
      </c>
      <c r="M233" s="22" t="n">
        <v>3</v>
      </c>
      <c r="N233" s="15" t="n">
        <f aca="false">SUMPRODUCT(COUNTIF(G233:L233,번호조회!$B$4:$B$9))</f>
        <v>0</v>
      </c>
    </row>
    <row r="234" customFormat="false" ht="16.5" hidden="false" customHeight="true" outlineLevel="0" collapsed="false">
      <c r="E234" s="1" t="n">
        <f aca="false">$E$13-($F$13-F234)*7</f>
        <v>44667</v>
      </c>
      <c r="F234" s="12" t="n">
        <v>1011</v>
      </c>
      <c r="G234" s="16" t="n">
        <v>1</v>
      </c>
      <c r="H234" s="17" t="n">
        <v>9</v>
      </c>
      <c r="I234" s="18" t="n">
        <v>12</v>
      </c>
      <c r="J234" s="19" t="n">
        <v>26</v>
      </c>
      <c r="K234" s="20" t="n">
        <v>35</v>
      </c>
      <c r="L234" s="21" t="n">
        <v>38</v>
      </c>
      <c r="M234" s="22" t="n">
        <v>42</v>
      </c>
      <c r="N234" s="15" t="n">
        <f aca="false">SUMPRODUCT(COUNTIF(G234:L234,번호조회!$B$4:$B$9))</f>
        <v>0</v>
      </c>
    </row>
    <row r="235" customFormat="false" ht="16.5" hidden="false" customHeight="true" outlineLevel="0" collapsed="false">
      <c r="E235" s="1" t="n">
        <f aca="false">$E$13-($F$13-F235)*7</f>
        <v>44660</v>
      </c>
      <c r="F235" s="12" t="n">
        <v>1010</v>
      </c>
      <c r="G235" s="16" t="n">
        <v>9</v>
      </c>
      <c r="H235" s="17" t="n">
        <v>12</v>
      </c>
      <c r="I235" s="18" t="n">
        <v>15</v>
      </c>
      <c r="J235" s="19" t="n">
        <v>25</v>
      </c>
      <c r="K235" s="20" t="n">
        <v>34</v>
      </c>
      <c r="L235" s="21" t="n">
        <v>36</v>
      </c>
      <c r="M235" s="22" t="n">
        <v>3</v>
      </c>
      <c r="N235" s="15" t="n">
        <f aca="false">SUMPRODUCT(COUNTIF(G235:L235,번호조회!$B$4:$B$9))</f>
        <v>0</v>
      </c>
    </row>
    <row r="236" customFormat="false" ht="16.5" hidden="false" customHeight="true" outlineLevel="0" collapsed="false">
      <c r="E236" s="1" t="n">
        <f aca="false">$E$13-($F$13-F236)*7</f>
        <v>44653</v>
      </c>
      <c r="F236" s="12" t="n">
        <v>1009</v>
      </c>
      <c r="G236" s="16" t="n">
        <v>15</v>
      </c>
      <c r="H236" s="17" t="n">
        <v>23</v>
      </c>
      <c r="I236" s="18" t="n">
        <v>29</v>
      </c>
      <c r="J236" s="19" t="n">
        <v>34</v>
      </c>
      <c r="K236" s="20" t="n">
        <v>40</v>
      </c>
      <c r="L236" s="21" t="n">
        <v>44</v>
      </c>
      <c r="M236" s="22" t="n">
        <v>20</v>
      </c>
      <c r="N236" s="15" t="n">
        <f aca="false">SUMPRODUCT(COUNTIF(G236:L236,번호조회!$B$4:$B$9))</f>
        <v>0</v>
      </c>
    </row>
    <row r="237" customFormat="false" ht="16.5" hidden="false" customHeight="true" outlineLevel="0" collapsed="false">
      <c r="E237" s="1" t="n">
        <f aca="false">$E$13-($F$13-F237)*7</f>
        <v>44646</v>
      </c>
      <c r="F237" s="12" t="n">
        <v>1008</v>
      </c>
      <c r="G237" s="16" t="n">
        <v>9</v>
      </c>
      <c r="H237" s="17" t="n">
        <v>11</v>
      </c>
      <c r="I237" s="18" t="n">
        <v>30</v>
      </c>
      <c r="J237" s="19" t="n">
        <v>31</v>
      </c>
      <c r="K237" s="20" t="n">
        <v>41</v>
      </c>
      <c r="L237" s="21" t="n">
        <v>44</v>
      </c>
      <c r="M237" s="22" t="n">
        <v>33</v>
      </c>
      <c r="N237" s="15" t="n">
        <f aca="false">SUMPRODUCT(COUNTIF(G237:L237,번호조회!$B$4:$B$9))</f>
        <v>0</v>
      </c>
    </row>
    <row r="238" customFormat="false" ht="16.5" hidden="false" customHeight="true" outlineLevel="0" collapsed="false">
      <c r="E238" s="1" t="n">
        <f aca="false">$E$13-($F$13-F238)*7</f>
        <v>44639</v>
      </c>
      <c r="F238" s="12" t="n">
        <v>1007</v>
      </c>
      <c r="G238" s="16" t="n">
        <v>8</v>
      </c>
      <c r="H238" s="17" t="n">
        <v>11</v>
      </c>
      <c r="I238" s="18" t="n">
        <v>16</v>
      </c>
      <c r="J238" s="19" t="n">
        <v>19</v>
      </c>
      <c r="K238" s="20" t="n">
        <v>21</v>
      </c>
      <c r="L238" s="21" t="n">
        <v>25</v>
      </c>
      <c r="M238" s="22" t="n">
        <v>40</v>
      </c>
      <c r="N238" s="15" t="n">
        <f aca="false">SUMPRODUCT(COUNTIF(G238:L238,번호조회!$B$4:$B$9))</f>
        <v>0</v>
      </c>
    </row>
    <row r="239" customFormat="false" ht="16.5" hidden="false" customHeight="true" outlineLevel="0" collapsed="false">
      <c r="E239" s="1" t="n">
        <f aca="false">$E$13-($F$13-F239)*7</f>
        <v>44632</v>
      </c>
      <c r="F239" s="12" t="n">
        <v>1006</v>
      </c>
      <c r="G239" s="16" t="n">
        <v>8</v>
      </c>
      <c r="H239" s="17" t="n">
        <v>11</v>
      </c>
      <c r="I239" s="18" t="n">
        <v>15</v>
      </c>
      <c r="J239" s="19" t="n">
        <v>16</v>
      </c>
      <c r="K239" s="20" t="n">
        <v>17</v>
      </c>
      <c r="L239" s="21" t="n">
        <v>37</v>
      </c>
      <c r="M239" s="22" t="n">
        <v>36</v>
      </c>
      <c r="N239" s="15" t="n">
        <f aca="false">SUMPRODUCT(COUNTIF(G239:L239,번호조회!$B$4:$B$9))</f>
        <v>0</v>
      </c>
    </row>
    <row r="240" customFormat="false" ht="16.5" hidden="false" customHeight="true" outlineLevel="0" collapsed="false">
      <c r="E240" s="1" t="n">
        <f aca="false">$E$13-($F$13-F240)*7</f>
        <v>44625</v>
      </c>
      <c r="F240" s="12" t="n">
        <v>1005</v>
      </c>
      <c r="G240" s="16" t="n">
        <v>8</v>
      </c>
      <c r="H240" s="17" t="n">
        <v>13</v>
      </c>
      <c r="I240" s="18" t="n">
        <v>18</v>
      </c>
      <c r="J240" s="19" t="n">
        <v>24</v>
      </c>
      <c r="K240" s="20" t="n">
        <v>27</v>
      </c>
      <c r="L240" s="21" t="n">
        <v>29</v>
      </c>
      <c r="M240" s="22" t="n">
        <v>17</v>
      </c>
      <c r="N240" s="15" t="n">
        <f aca="false">SUMPRODUCT(COUNTIF(G240:L240,번호조회!$B$4:$B$9))</f>
        <v>0</v>
      </c>
    </row>
    <row r="241" customFormat="false" ht="16.5" hidden="false" customHeight="true" outlineLevel="0" collapsed="false">
      <c r="E241" s="1" t="n">
        <f aca="false">$E$13-($F$13-F241)*7</f>
        <v>44618</v>
      </c>
      <c r="F241" s="12" t="n">
        <v>1004</v>
      </c>
      <c r="G241" s="16" t="n">
        <v>7</v>
      </c>
      <c r="H241" s="17" t="n">
        <v>15</v>
      </c>
      <c r="I241" s="18" t="n">
        <v>30</v>
      </c>
      <c r="J241" s="19" t="n">
        <v>37</v>
      </c>
      <c r="K241" s="20" t="n">
        <v>39</v>
      </c>
      <c r="L241" s="21" t="n">
        <v>44</v>
      </c>
      <c r="M241" s="22" t="n">
        <v>18</v>
      </c>
      <c r="N241" s="15" t="n">
        <f aca="false">SUMPRODUCT(COUNTIF(G241:L241,번호조회!$B$4:$B$9))</f>
        <v>0</v>
      </c>
    </row>
    <row r="242" customFormat="false" ht="16.5" hidden="false" customHeight="true" outlineLevel="0" collapsed="false">
      <c r="E242" s="1" t="n">
        <f aca="false">$E$13-($F$13-F242)*7</f>
        <v>44611</v>
      </c>
      <c r="F242" s="12" t="n">
        <v>1003</v>
      </c>
      <c r="G242" s="16" t="n">
        <v>1</v>
      </c>
      <c r="H242" s="17" t="n">
        <v>4</v>
      </c>
      <c r="I242" s="18" t="n">
        <v>29</v>
      </c>
      <c r="J242" s="19" t="n">
        <v>39</v>
      </c>
      <c r="K242" s="20" t="n">
        <v>43</v>
      </c>
      <c r="L242" s="21" t="n">
        <v>45</v>
      </c>
      <c r="M242" s="22" t="n">
        <v>31</v>
      </c>
      <c r="N242" s="15" t="n">
        <f aca="false">SUMPRODUCT(COUNTIF(G242:L242,번호조회!$B$4:$B$9))</f>
        <v>0</v>
      </c>
    </row>
    <row r="243" customFormat="false" ht="16.5" hidden="false" customHeight="true" outlineLevel="0" collapsed="false">
      <c r="E243" s="1" t="n">
        <f aca="false">$E$13-($F$13-F243)*7</f>
        <v>44604</v>
      </c>
      <c r="F243" s="12" t="n">
        <v>1002</v>
      </c>
      <c r="G243" s="16" t="n">
        <v>17</v>
      </c>
      <c r="H243" s="17" t="n">
        <v>25</v>
      </c>
      <c r="I243" s="18" t="n">
        <v>33</v>
      </c>
      <c r="J243" s="19" t="n">
        <v>35</v>
      </c>
      <c r="K243" s="20" t="n">
        <v>38</v>
      </c>
      <c r="L243" s="21" t="n">
        <v>45</v>
      </c>
      <c r="M243" s="22" t="n">
        <v>15</v>
      </c>
      <c r="N243" s="15" t="n">
        <f aca="false">SUMPRODUCT(COUNTIF(G243:L243,번호조회!$B$4:$B$9))</f>
        <v>0</v>
      </c>
    </row>
    <row r="244" customFormat="false" ht="16.5" hidden="false" customHeight="true" outlineLevel="0" collapsed="false">
      <c r="E244" s="1" t="n">
        <f aca="false">$E$13-($F$13-F244)*7</f>
        <v>44597</v>
      </c>
      <c r="F244" s="12" t="n">
        <v>1001</v>
      </c>
      <c r="G244" s="16" t="n">
        <v>6</v>
      </c>
      <c r="H244" s="17" t="n">
        <v>10</v>
      </c>
      <c r="I244" s="18" t="n">
        <v>12</v>
      </c>
      <c r="J244" s="19" t="n">
        <v>14</v>
      </c>
      <c r="K244" s="20" t="n">
        <v>20</v>
      </c>
      <c r="L244" s="21" t="n">
        <v>42</v>
      </c>
      <c r="M244" s="22" t="n">
        <v>15</v>
      </c>
      <c r="N244" s="15" t="n">
        <f aca="false">SUMPRODUCT(COUNTIF(G244:L244,번호조회!$B$4:$B$9))</f>
        <v>0</v>
      </c>
    </row>
    <row r="245" customFormat="false" ht="16.5" hidden="false" customHeight="true" outlineLevel="0" collapsed="false">
      <c r="E245" s="1" t="n">
        <f aca="false">$E$13-($F$13-F245)*7</f>
        <v>44590</v>
      </c>
      <c r="F245" s="12" t="n">
        <v>1000</v>
      </c>
      <c r="G245" s="16" t="n">
        <v>2</v>
      </c>
      <c r="H245" s="17" t="n">
        <v>8</v>
      </c>
      <c r="I245" s="18" t="n">
        <v>19</v>
      </c>
      <c r="J245" s="19" t="n">
        <v>22</v>
      </c>
      <c r="K245" s="20" t="n">
        <v>32</v>
      </c>
      <c r="L245" s="21" t="n">
        <v>42</v>
      </c>
      <c r="M245" s="22" t="n">
        <v>39</v>
      </c>
      <c r="N245" s="15" t="n">
        <f aca="false">SUMPRODUCT(COUNTIF(G245:L245,번호조회!$B$4:$B$9))</f>
        <v>0</v>
      </c>
    </row>
    <row r="246" customFormat="false" ht="16.5" hidden="false" customHeight="true" outlineLevel="0" collapsed="false">
      <c r="E246" s="1" t="n">
        <f aca="false">$E$13-($F$13-F246)*7</f>
        <v>44583</v>
      </c>
      <c r="F246" s="12" t="n">
        <v>999</v>
      </c>
      <c r="G246" s="16" t="n">
        <v>1</v>
      </c>
      <c r="H246" s="17" t="n">
        <v>3</v>
      </c>
      <c r="I246" s="18" t="n">
        <v>9</v>
      </c>
      <c r="J246" s="19" t="n">
        <v>14</v>
      </c>
      <c r="K246" s="20" t="n">
        <v>18</v>
      </c>
      <c r="L246" s="21" t="n">
        <v>28</v>
      </c>
      <c r="M246" s="22" t="n">
        <v>34</v>
      </c>
      <c r="N246" s="15" t="n">
        <f aca="false">SUMPRODUCT(COUNTIF(G246:L246,번호조회!$B$4:$B$9))</f>
        <v>0</v>
      </c>
    </row>
    <row r="247" customFormat="false" ht="16.5" hidden="false" customHeight="true" outlineLevel="0" collapsed="false">
      <c r="E247" s="1" t="n">
        <f aca="false">$E$13-($F$13-F247)*7</f>
        <v>44576</v>
      </c>
      <c r="F247" s="12" t="n">
        <v>998</v>
      </c>
      <c r="G247" s="16" t="n">
        <v>13</v>
      </c>
      <c r="H247" s="17" t="n">
        <v>17</v>
      </c>
      <c r="I247" s="18" t="n">
        <v>18</v>
      </c>
      <c r="J247" s="19" t="n">
        <v>20</v>
      </c>
      <c r="K247" s="20" t="n">
        <v>42</v>
      </c>
      <c r="L247" s="21" t="n">
        <v>45</v>
      </c>
      <c r="M247" s="22" t="n">
        <v>41</v>
      </c>
      <c r="N247" s="15" t="n">
        <f aca="false">SUMPRODUCT(COUNTIF(G247:L247,번호조회!$B$4:$B$9))</f>
        <v>0</v>
      </c>
    </row>
    <row r="248" customFormat="false" ht="16.5" hidden="false" customHeight="true" outlineLevel="0" collapsed="false">
      <c r="E248" s="1" t="n">
        <f aca="false">$E$13-($F$13-F248)*7</f>
        <v>44569</v>
      </c>
      <c r="F248" s="12" t="n">
        <v>997</v>
      </c>
      <c r="G248" s="16" t="n">
        <v>4</v>
      </c>
      <c r="H248" s="17" t="n">
        <v>7</v>
      </c>
      <c r="I248" s="18" t="n">
        <v>14</v>
      </c>
      <c r="J248" s="19" t="n">
        <v>16</v>
      </c>
      <c r="K248" s="20" t="n">
        <v>24</v>
      </c>
      <c r="L248" s="21" t="n">
        <v>44</v>
      </c>
      <c r="M248" s="22" t="n">
        <v>20</v>
      </c>
      <c r="N248" s="15" t="n">
        <f aca="false">SUMPRODUCT(COUNTIF(G248:L248,번호조회!$B$4:$B$9))</f>
        <v>0</v>
      </c>
    </row>
    <row r="249" customFormat="false" ht="16.5" hidden="false" customHeight="true" outlineLevel="0" collapsed="false">
      <c r="E249" s="1" t="n">
        <f aca="false">$E$13-($F$13-F249)*7</f>
        <v>44562</v>
      </c>
      <c r="F249" s="12" t="n">
        <v>996</v>
      </c>
      <c r="G249" s="16" t="n">
        <v>6</v>
      </c>
      <c r="H249" s="17" t="n">
        <v>11</v>
      </c>
      <c r="I249" s="18" t="n">
        <v>15</v>
      </c>
      <c r="J249" s="19" t="n">
        <v>24</v>
      </c>
      <c r="K249" s="20" t="n">
        <v>32</v>
      </c>
      <c r="L249" s="21" t="n">
        <v>39</v>
      </c>
      <c r="M249" s="22" t="n">
        <v>28</v>
      </c>
      <c r="N249" s="15" t="n">
        <f aca="false">SUMPRODUCT(COUNTIF(G249:L249,번호조회!$B$4:$B$9))</f>
        <v>0</v>
      </c>
    </row>
    <row r="250" customFormat="false" ht="16.5" hidden="false" customHeight="true" outlineLevel="0" collapsed="false">
      <c r="E250" s="1" t="n">
        <f aca="false">$E$13-($F$13-F250)*7</f>
        <v>44555</v>
      </c>
      <c r="F250" s="12" t="n">
        <v>995</v>
      </c>
      <c r="G250" s="16" t="n">
        <v>1</v>
      </c>
      <c r="H250" s="17" t="n">
        <v>4</v>
      </c>
      <c r="I250" s="18" t="n">
        <v>13</v>
      </c>
      <c r="J250" s="19" t="n">
        <v>29</v>
      </c>
      <c r="K250" s="20" t="n">
        <v>38</v>
      </c>
      <c r="L250" s="21" t="n">
        <v>39</v>
      </c>
      <c r="M250" s="22" t="n">
        <v>7</v>
      </c>
      <c r="N250" s="15" t="n">
        <f aca="false">SUMPRODUCT(COUNTIF(G250:L250,번호조회!$B$4:$B$9))</f>
        <v>0</v>
      </c>
    </row>
    <row r="251" customFormat="false" ht="16.5" hidden="false" customHeight="true" outlineLevel="0" collapsed="false">
      <c r="E251" s="1" t="n">
        <f aca="false">$E$13-($F$13-F251)*7</f>
        <v>44548</v>
      </c>
      <c r="F251" s="12" t="n">
        <v>994</v>
      </c>
      <c r="G251" s="16" t="n">
        <v>1</v>
      </c>
      <c r="H251" s="17" t="n">
        <v>3</v>
      </c>
      <c r="I251" s="18" t="n">
        <v>8</v>
      </c>
      <c r="J251" s="19" t="n">
        <v>24</v>
      </c>
      <c r="K251" s="20" t="n">
        <v>27</v>
      </c>
      <c r="L251" s="21" t="n">
        <v>35</v>
      </c>
      <c r="M251" s="22" t="n">
        <v>28</v>
      </c>
      <c r="N251" s="15" t="n">
        <f aca="false">SUMPRODUCT(COUNTIF(G251:L251,번호조회!$B$4:$B$9))</f>
        <v>0</v>
      </c>
    </row>
    <row r="252" customFormat="false" ht="16.5" hidden="false" customHeight="true" outlineLevel="0" collapsed="false">
      <c r="E252" s="1" t="n">
        <f aca="false">$E$13-($F$13-F252)*7</f>
        <v>44541</v>
      </c>
      <c r="F252" s="12" t="n">
        <v>993</v>
      </c>
      <c r="G252" s="16" t="n">
        <v>6</v>
      </c>
      <c r="H252" s="17" t="n">
        <v>14</v>
      </c>
      <c r="I252" s="18" t="n">
        <v>16</v>
      </c>
      <c r="J252" s="19" t="n">
        <v>18</v>
      </c>
      <c r="K252" s="20" t="n">
        <v>24</v>
      </c>
      <c r="L252" s="21" t="n">
        <v>42</v>
      </c>
      <c r="M252" s="22" t="n">
        <v>44</v>
      </c>
      <c r="N252" s="15" t="n">
        <f aca="false">SUMPRODUCT(COUNTIF(G252:L252,번호조회!$B$4:$B$9))</f>
        <v>0</v>
      </c>
    </row>
    <row r="253" customFormat="false" ht="16.5" hidden="false" customHeight="true" outlineLevel="0" collapsed="false">
      <c r="E253" s="1" t="n">
        <f aca="false">$E$13-($F$13-F253)*7</f>
        <v>44534</v>
      </c>
      <c r="F253" s="12" t="n">
        <v>992</v>
      </c>
      <c r="G253" s="16" t="n">
        <v>12</v>
      </c>
      <c r="H253" s="17" t="n">
        <v>20</v>
      </c>
      <c r="I253" s="18" t="n">
        <v>26</v>
      </c>
      <c r="J253" s="19" t="n">
        <v>33</v>
      </c>
      <c r="K253" s="20" t="n">
        <v>44</v>
      </c>
      <c r="L253" s="21" t="n">
        <v>45</v>
      </c>
      <c r="M253" s="22" t="n">
        <v>24</v>
      </c>
      <c r="N253" s="15" t="n">
        <f aca="false">SUMPRODUCT(COUNTIF(G253:L253,번호조회!$B$4:$B$9))</f>
        <v>0</v>
      </c>
    </row>
    <row r="254" customFormat="false" ht="16.5" hidden="false" customHeight="true" outlineLevel="0" collapsed="false">
      <c r="E254" s="1" t="n">
        <f aca="false">$E$13-($F$13-F254)*7</f>
        <v>44527</v>
      </c>
      <c r="F254" s="12" t="n">
        <v>991</v>
      </c>
      <c r="G254" s="16" t="n">
        <v>13</v>
      </c>
      <c r="H254" s="17" t="n">
        <v>18</v>
      </c>
      <c r="I254" s="18" t="n">
        <v>25</v>
      </c>
      <c r="J254" s="19" t="n">
        <v>31</v>
      </c>
      <c r="K254" s="20" t="n">
        <v>33</v>
      </c>
      <c r="L254" s="21" t="n">
        <v>44</v>
      </c>
      <c r="M254" s="22" t="n">
        <v>38</v>
      </c>
      <c r="N254" s="15" t="n">
        <f aca="false">SUMPRODUCT(COUNTIF(G254:L254,번호조회!$B$4:$B$9))</f>
        <v>0</v>
      </c>
    </row>
    <row r="255" customFormat="false" ht="16.5" hidden="false" customHeight="true" outlineLevel="0" collapsed="false">
      <c r="E255" s="1" t="n">
        <f aca="false">$E$13-($F$13-F255)*7</f>
        <v>44520</v>
      </c>
      <c r="F255" s="12" t="n">
        <v>990</v>
      </c>
      <c r="G255" s="16" t="n">
        <v>2</v>
      </c>
      <c r="H255" s="17" t="n">
        <v>4</v>
      </c>
      <c r="I255" s="18" t="n">
        <v>25</v>
      </c>
      <c r="J255" s="19" t="n">
        <v>26</v>
      </c>
      <c r="K255" s="20" t="n">
        <v>36</v>
      </c>
      <c r="L255" s="21" t="n">
        <v>37</v>
      </c>
      <c r="M255" s="22" t="n">
        <v>28</v>
      </c>
      <c r="N255" s="15" t="n">
        <f aca="false">SUMPRODUCT(COUNTIF(G255:L255,번호조회!$B$4:$B$9))</f>
        <v>0</v>
      </c>
    </row>
    <row r="256" customFormat="false" ht="16.5" hidden="false" customHeight="true" outlineLevel="0" collapsed="false">
      <c r="E256" s="1" t="n">
        <f aca="false">$E$13-($F$13-F256)*7</f>
        <v>44513</v>
      </c>
      <c r="F256" s="12" t="n">
        <v>989</v>
      </c>
      <c r="G256" s="16" t="n">
        <v>17</v>
      </c>
      <c r="H256" s="17" t="n">
        <v>18</v>
      </c>
      <c r="I256" s="18" t="n">
        <v>21</v>
      </c>
      <c r="J256" s="19" t="n">
        <v>27</v>
      </c>
      <c r="K256" s="20" t="n">
        <v>29</v>
      </c>
      <c r="L256" s="21" t="n">
        <v>33</v>
      </c>
      <c r="M256" s="22" t="n">
        <v>26</v>
      </c>
      <c r="N256" s="15" t="n">
        <f aca="false">SUMPRODUCT(COUNTIF(G256:L256,번호조회!$B$4:$B$9))</f>
        <v>0</v>
      </c>
    </row>
    <row r="257" customFormat="false" ht="16.5" hidden="false" customHeight="true" outlineLevel="0" collapsed="false">
      <c r="E257" s="1" t="n">
        <f aca="false">$E$13-($F$13-F257)*7</f>
        <v>44506</v>
      </c>
      <c r="F257" s="12" t="n">
        <v>988</v>
      </c>
      <c r="G257" s="16" t="n">
        <v>2</v>
      </c>
      <c r="H257" s="17" t="n">
        <v>13</v>
      </c>
      <c r="I257" s="18" t="n">
        <v>20</v>
      </c>
      <c r="J257" s="19" t="n">
        <v>30</v>
      </c>
      <c r="K257" s="20" t="n">
        <v>31</v>
      </c>
      <c r="L257" s="21" t="n">
        <v>41</v>
      </c>
      <c r="M257" s="22" t="n">
        <v>27</v>
      </c>
      <c r="N257" s="15" t="n">
        <f aca="false">SUMPRODUCT(COUNTIF(G257:L257,번호조회!$B$4:$B$9))</f>
        <v>0</v>
      </c>
    </row>
    <row r="258" customFormat="false" ht="16.5" hidden="false" customHeight="true" outlineLevel="0" collapsed="false">
      <c r="E258" s="1" t="n">
        <f aca="false">$E$13-($F$13-F258)*7</f>
        <v>44499</v>
      </c>
      <c r="F258" s="12" t="n">
        <v>987</v>
      </c>
      <c r="G258" s="16" t="n">
        <v>2</v>
      </c>
      <c r="H258" s="17" t="n">
        <v>4</v>
      </c>
      <c r="I258" s="18" t="n">
        <v>15</v>
      </c>
      <c r="J258" s="19" t="n">
        <v>23</v>
      </c>
      <c r="K258" s="20" t="n">
        <v>29</v>
      </c>
      <c r="L258" s="21" t="n">
        <v>38</v>
      </c>
      <c r="M258" s="22" t="n">
        <v>7</v>
      </c>
      <c r="N258" s="15" t="n">
        <f aca="false">SUMPRODUCT(COUNTIF(G258:L258,번호조회!$B$4:$B$9))</f>
        <v>0</v>
      </c>
    </row>
    <row r="259" customFormat="false" ht="16.5" hidden="false" customHeight="true" outlineLevel="0" collapsed="false">
      <c r="E259" s="1" t="n">
        <f aca="false">$E$13-($F$13-F259)*7</f>
        <v>44492</v>
      </c>
      <c r="F259" s="12" t="n">
        <v>986</v>
      </c>
      <c r="G259" s="16" t="n">
        <v>7</v>
      </c>
      <c r="H259" s="17" t="n">
        <v>10</v>
      </c>
      <c r="I259" s="18" t="n">
        <v>16</v>
      </c>
      <c r="J259" s="19" t="n">
        <v>28</v>
      </c>
      <c r="K259" s="20" t="n">
        <v>41</v>
      </c>
      <c r="L259" s="21" t="n">
        <v>42</v>
      </c>
      <c r="M259" s="22" t="n">
        <v>40</v>
      </c>
      <c r="N259" s="15" t="n">
        <f aca="false">SUMPRODUCT(COUNTIF(G259:L259,번호조회!$B$4:$B$9))</f>
        <v>0</v>
      </c>
    </row>
    <row r="260" customFormat="false" ht="16.5" hidden="false" customHeight="true" outlineLevel="0" collapsed="false">
      <c r="E260" s="1" t="n">
        <f aca="false">$E$13-($F$13-F260)*7</f>
        <v>44485</v>
      </c>
      <c r="F260" s="12" t="n">
        <v>985</v>
      </c>
      <c r="G260" s="16" t="n">
        <v>17</v>
      </c>
      <c r="H260" s="17" t="n">
        <v>21</v>
      </c>
      <c r="I260" s="18" t="n">
        <v>23</v>
      </c>
      <c r="J260" s="19" t="n">
        <v>30</v>
      </c>
      <c r="K260" s="20" t="n">
        <v>34</v>
      </c>
      <c r="L260" s="21" t="n">
        <v>44</v>
      </c>
      <c r="M260" s="22" t="n">
        <v>19</v>
      </c>
      <c r="N260" s="15" t="n">
        <f aca="false">SUMPRODUCT(COUNTIF(G260:L260,번호조회!$B$4:$B$9))</f>
        <v>0</v>
      </c>
    </row>
    <row r="261" customFormat="false" ht="16.5" hidden="false" customHeight="true" outlineLevel="0" collapsed="false">
      <c r="E261" s="1" t="n">
        <f aca="false">$E$13-($F$13-F261)*7</f>
        <v>44478</v>
      </c>
      <c r="F261" s="12" t="n">
        <v>984</v>
      </c>
      <c r="G261" s="16" t="n">
        <v>3</v>
      </c>
      <c r="H261" s="17" t="n">
        <v>10</v>
      </c>
      <c r="I261" s="18" t="n">
        <v>23</v>
      </c>
      <c r="J261" s="19" t="n">
        <v>35</v>
      </c>
      <c r="K261" s="20" t="n">
        <v>36</v>
      </c>
      <c r="L261" s="21" t="n">
        <v>37</v>
      </c>
      <c r="M261" s="22" t="n">
        <v>18</v>
      </c>
      <c r="N261" s="15" t="n">
        <f aca="false">SUMPRODUCT(COUNTIF(G261:L261,번호조회!$B$4:$B$9))</f>
        <v>0</v>
      </c>
    </row>
    <row r="262" customFormat="false" ht="16.5" hidden="false" customHeight="true" outlineLevel="0" collapsed="false">
      <c r="E262" s="1" t="n">
        <f aca="false">$E$13-($F$13-F262)*7</f>
        <v>44471</v>
      </c>
      <c r="F262" s="12" t="n">
        <v>983</v>
      </c>
      <c r="G262" s="16" t="n">
        <v>13</v>
      </c>
      <c r="H262" s="17" t="n">
        <v>23</v>
      </c>
      <c r="I262" s="18" t="n">
        <v>26</v>
      </c>
      <c r="J262" s="19" t="n">
        <v>31</v>
      </c>
      <c r="K262" s="20" t="n">
        <v>35</v>
      </c>
      <c r="L262" s="21" t="n">
        <v>43</v>
      </c>
      <c r="M262" s="22" t="n">
        <v>15</v>
      </c>
      <c r="N262" s="15" t="n">
        <f aca="false">SUMPRODUCT(COUNTIF(G262:L262,번호조회!$B$4:$B$9))</f>
        <v>0</v>
      </c>
    </row>
    <row r="263" customFormat="false" ht="16.5" hidden="false" customHeight="true" outlineLevel="0" collapsed="false">
      <c r="E263" s="1" t="n">
        <f aca="false">$E$13-($F$13-F263)*7</f>
        <v>44464</v>
      </c>
      <c r="F263" s="12" t="n">
        <v>982</v>
      </c>
      <c r="G263" s="16" t="n">
        <v>5</v>
      </c>
      <c r="H263" s="17" t="n">
        <v>7</v>
      </c>
      <c r="I263" s="18" t="n">
        <v>13</v>
      </c>
      <c r="J263" s="19" t="n">
        <v>20</v>
      </c>
      <c r="K263" s="20" t="n">
        <v>21</v>
      </c>
      <c r="L263" s="21" t="n">
        <v>44</v>
      </c>
      <c r="M263" s="22" t="n">
        <v>33</v>
      </c>
      <c r="N263" s="15" t="n">
        <f aca="false">SUMPRODUCT(COUNTIF(G263:L263,번호조회!$B$4:$B$9))</f>
        <v>0</v>
      </c>
    </row>
    <row r="264" customFormat="false" ht="16.5" hidden="false" customHeight="true" outlineLevel="0" collapsed="false">
      <c r="E264" s="1" t="n">
        <f aca="false">$E$13-($F$13-F264)*7</f>
        <v>44457</v>
      </c>
      <c r="F264" s="12" t="n">
        <v>981</v>
      </c>
      <c r="G264" s="16" t="n">
        <v>27</v>
      </c>
      <c r="H264" s="17" t="n">
        <v>36</v>
      </c>
      <c r="I264" s="18" t="n">
        <v>37</v>
      </c>
      <c r="J264" s="19" t="n">
        <v>41</v>
      </c>
      <c r="K264" s="20" t="n">
        <v>43</v>
      </c>
      <c r="L264" s="21" t="n">
        <v>45</v>
      </c>
      <c r="M264" s="22" t="n">
        <v>32</v>
      </c>
      <c r="N264" s="15" t="n">
        <f aca="false">SUMPRODUCT(COUNTIF(G264:L264,번호조회!$B$4:$B$9))</f>
        <v>0</v>
      </c>
    </row>
    <row r="265" customFormat="false" ht="16.5" hidden="false" customHeight="true" outlineLevel="0" collapsed="false">
      <c r="E265" s="1" t="n">
        <f aca="false">$E$13-($F$13-F265)*7</f>
        <v>44450</v>
      </c>
      <c r="F265" s="12" t="n">
        <v>980</v>
      </c>
      <c r="G265" s="16" t="n">
        <v>3</v>
      </c>
      <c r="H265" s="17" t="n">
        <v>13</v>
      </c>
      <c r="I265" s="18" t="n">
        <v>16</v>
      </c>
      <c r="J265" s="19" t="n">
        <v>23</v>
      </c>
      <c r="K265" s="20" t="n">
        <v>24</v>
      </c>
      <c r="L265" s="21" t="n">
        <v>35</v>
      </c>
      <c r="M265" s="22" t="n">
        <v>14</v>
      </c>
      <c r="N265" s="15" t="n">
        <f aca="false">SUMPRODUCT(COUNTIF(G265:L265,번호조회!$B$4:$B$9))</f>
        <v>0</v>
      </c>
    </row>
    <row r="266" customFormat="false" ht="16.5" hidden="false" customHeight="true" outlineLevel="0" collapsed="false">
      <c r="E266" s="1" t="n">
        <f aca="false">$E$13-($F$13-F266)*7</f>
        <v>44443</v>
      </c>
      <c r="F266" s="12" t="n">
        <v>979</v>
      </c>
      <c r="G266" s="16" t="n">
        <v>7</v>
      </c>
      <c r="H266" s="17" t="n">
        <v>11</v>
      </c>
      <c r="I266" s="18" t="n">
        <v>16</v>
      </c>
      <c r="J266" s="19" t="n">
        <v>21</v>
      </c>
      <c r="K266" s="20" t="n">
        <v>27</v>
      </c>
      <c r="L266" s="21" t="n">
        <v>33</v>
      </c>
      <c r="M266" s="22" t="n">
        <v>24</v>
      </c>
      <c r="N266" s="15" t="n">
        <f aca="false">SUMPRODUCT(COUNTIF(G266:L266,번호조회!$B$4:$B$9))</f>
        <v>0</v>
      </c>
    </row>
    <row r="267" customFormat="false" ht="16.5" hidden="false" customHeight="true" outlineLevel="0" collapsed="false">
      <c r="E267" s="1" t="n">
        <f aca="false">$E$13-($F$13-F267)*7</f>
        <v>44436</v>
      </c>
      <c r="F267" s="12" t="n">
        <v>978</v>
      </c>
      <c r="G267" s="16" t="n">
        <v>1</v>
      </c>
      <c r="H267" s="17" t="n">
        <v>7</v>
      </c>
      <c r="I267" s="18" t="n">
        <v>15</v>
      </c>
      <c r="J267" s="19" t="n">
        <v>32</v>
      </c>
      <c r="K267" s="20" t="n">
        <v>34</v>
      </c>
      <c r="L267" s="21" t="n">
        <v>42</v>
      </c>
      <c r="M267" s="22" t="n">
        <v>8</v>
      </c>
      <c r="N267" s="15" t="n">
        <f aca="false">SUMPRODUCT(COUNTIF(G267:L267,번호조회!$B$4:$B$9))</f>
        <v>0</v>
      </c>
    </row>
    <row r="268" customFormat="false" ht="16.5" hidden="false" customHeight="true" outlineLevel="0" collapsed="false">
      <c r="E268" s="1" t="n">
        <f aca="false">$E$13-($F$13-F268)*7</f>
        <v>44429</v>
      </c>
      <c r="F268" s="12" t="n">
        <v>977</v>
      </c>
      <c r="G268" s="16" t="n">
        <v>2</v>
      </c>
      <c r="H268" s="17" t="n">
        <v>9</v>
      </c>
      <c r="I268" s="18" t="n">
        <v>10</v>
      </c>
      <c r="J268" s="19" t="n">
        <v>14</v>
      </c>
      <c r="K268" s="20" t="n">
        <v>22</v>
      </c>
      <c r="L268" s="21" t="n">
        <v>44</v>
      </c>
      <c r="M268" s="22" t="n">
        <v>16</v>
      </c>
      <c r="N268" s="15" t="n">
        <f aca="false">SUMPRODUCT(COUNTIF(G268:L268,번호조회!$B$4:$B$9))</f>
        <v>0</v>
      </c>
    </row>
    <row r="269" customFormat="false" ht="16.5" hidden="false" customHeight="true" outlineLevel="0" collapsed="false">
      <c r="E269" s="1" t="n">
        <f aca="false">$E$13-($F$13-F269)*7</f>
        <v>44422</v>
      </c>
      <c r="F269" s="12" t="n">
        <v>976</v>
      </c>
      <c r="G269" s="16" t="n">
        <v>4</v>
      </c>
      <c r="H269" s="17" t="n">
        <v>12</v>
      </c>
      <c r="I269" s="18" t="n">
        <v>14</v>
      </c>
      <c r="J269" s="19" t="n">
        <v>25</v>
      </c>
      <c r="K269" s="20" t="n">
        <v>35</v>
      </c>
      <c r="L269" s="21" t="n">
        <v>37</v>
      </c>
      <c r="M269" s="22" t="n">
        <v>2</v>
      </c>
      <c r="N269" s="15" t="n">
        <f aca="false">SUMPRODUCT(COUNTIF(G269:L269,번호조회!$B$4:$B$9))</f>
        <v>0</v>
      </c>
    </row>
    <row r="270" customFormat="false" ht="16.5" hidden="false" customHeight="true" outlineLevel="0" collapsed="false">
      <c r="E270" s="1" t="n">
        <f aca="false">$E$13-($F$13-F270)*7</f>
        <v>44415</v>
      </c>
      <c r="F270" s="12" t="n">
        <v>975</v>
      </c>
      <c r="G270" s="16" t="n">
        <v>7</v>
      </c>
      <c r="H270" s="17" t="n">
        <v>8</v>
      </c>
      <c r="I270" s="18" t="n">
        <v>9</v>
      </c>
      <c r="J270" s="19" t="n">
        <v>17</v>
      </c>
      <c r="K270" s="20" t="n">
        <v>22</v>
      </c>
      <c r="L270" s="21" t="n">
        <v>24</v>
      </c>
      <c r="M270" s="22" t="n">
        <v>5</v>
      </c>
      <c r="N270" s="15" t="n">
        <f aca="false">SUMPRODUCT(COUNTIF(G270:L270,번호조회!$B$4:$B$9))</f>
        <v>0</v>
      </c>
    </row>
    <row r="271" customFormat="false" ht="16.5" hidden="false" customHeight="true" outlineLevel="0" collapsed="false">
      <c r="E271" s="1" t="n">
        <f aca="false">$E$13-($F$13-F271)*7</f>
        <v>44408</v>
      </c>
      <c r="F271" s="12" t="n">
        <v>974</v>
      </c>
      <c r="G271" s="16" t="n">
        <v>1</v>
      </c>
      <c r="H271" s="17" t="n">
        <v>2</v>
      </c>
      <c r="I271" s="18" t="n">
        <v>11</v>
      </c>
      <c r="J271" s="19" t="n">
        <v>16</v>
      </c>
      <c r="K271" s="20" t="n">
        <v>39</v>
      </c>
      <c r="L271" s="21" t="n">
        <v>44</v>
      </c>
      <c r="M271" s="22" t="n">
        <v>32</v>
      </c>
      <c r="N271" s="15" t="n">
        <f aca="false">SUMPRODUCT(COUNTIF(G271:L271,번호조회!$B$4:$B$9))</f>
        <v>0</v>
      </c>
    </row>
    <row r="272" customFormat="false" ht="16.5" hidden="false" customHeight="true" outlineLevel="0" collapsed="false">
      <c r="E272" s="1" t="n">
        <f aca="false">$E$13-($F$13-F272)*7</f>
        <v>44401</v>
      </c>
      <c r="F272" s="12" t="n">
        <v>973</v>
      </c>
      <c r="G272" s="16" t="n">
        <v>22</v>
      </c>
      <c r="H272" s="17" t="n">
        <v>26</v>
      </c>
      <c r="I272" s="18" t="n">
        <v>31</v>
      </c>
      <c r="J272" s="19" t="n">
        <v>37</v>
      </c>
      <c r="K272" s="20" t="n">
        <v>41</v>
      </c>
      <c r="L272" s="21" t="n">
        <v>42</v>
      </c>
      <c r="M272" s="22" t="n">
        <v>24</v>
      </c>
      <c r="N272" s="15" t="n">
        <f aca="false">SUMPRODUCT(COUNTIF(G272:L272,번호조회!$B$4:$B$9))</f>
        <v>0</v>
      </c>
    </row>
    <row r="273" customFormat="false" ht="16.5" hidden="false" customHeight="true" outlineLevel="0" collapsed="false">
      <c r="E273" s="1" t="n">
        <f aca="false">$E$13-($F$13-F273)*7</f>
        <v>44394</v>
      </c>
      <c r="F273" s="12" t="n">
        <v>972</v>
      </c>
      <c r="G273" s="16" t="n">
        <v>3</v>
      </c>
      <c r="H273" s="17" t="n">
        <v>6</v>
      </c>
      <c r="I273" s="18" t="n">
        <v>17</v>
      </c>
      <c r="J273" s="19" t="n">
        <v>23</v>
      </c>
      <c r="K273" s="20" t="n">
        <v>37</v>
      </c>
      <c r="L273" s="21" t="n">
        <v>39</v>
      </c>
      <c r="M273" s="22" t="n">
        <v>26</v>
      </c>
      <c r="N273" s="15" t="n">
        <f aca="false">SUMPRODUCT(COUNTIF(G273:L273,번호조회!$B$4:$B$9))</f>
        <v>0</v>
      </c>
    </row>
    <row r="274" customFormat="false" ht="16.5" hidden="false" customHeight="true" outlineLevel="0" collapsed="false">
      <c r="E274" s="1" t="n">
        <f aca="false">$E$13-($F$13-F274)*7</f>
        <v>44387</v>
      </c>
      <c r="F274" s="12" t="n">
        <v>971</v>
      </c>
      <c r="G274" s="16" t="n">
        <v>2</v>
      </c>
      <c r="H274" s="17" t="n">
        <v>6</v>
      </c>
      <c r="I274" s="18" t="n">
        <v>17</v>
      </c>
      <c r="J274" s="19" t="n">
        <v>18</v>
      </c>
      <c r="K274" s="20" t="n">
        <v>21</v>
      </c>
      <c r="L274" s="21" t="n">
        <v>26</v>
      </c>
      <c r="M274" s="22" t="n">
        <v>7</v>
      </c>
      <c r="N274" s="15" t="n">
        <f aca="false">SUMPRODUCT(COUNTIF(G274:L274,번호조회!$B$4:$B$9))</f>
        <v>0</v>
      </c>
    </row>
    <row r="275" customFormat="false" ht="16.5" hidden="false" customHeight="true" outlineLevel="0" collapsed="false">
      <c r="E275" s="1" t="n">
        <f aca="false">$E$13-($F$13-F275)*7</f>
        <v>44380</v>
      </c>
      <c r="F275" s="12" t="n">
        <v>970</v>
      </c>
      <c r="G275" s="16" t="n">
        <v>9</v>
      </c>
      <c r="H275" s="17" t="n">
        <v>11</v>
      </c>
      <c r="I275" s="18" t="n">
        <v>16</v>
      </c>
      <c r="J275" s="19" t="n">
        <v>21</v>
      </c>
      <c r="K275" s="20" t="n">
        <v>28</v>
      </c>
      <c r="L275" s="21" t="n">
        <v>36</v>
      </c>
      <c r="M275" s="22" t="n">
        <v>5</v>
      </c>
      <c r="N275" s="15" t="n">
        <f aca="false">SUMPRODUCT(COUNTIF(G275:L275,번호조회!$B$4:$B$9))</f>
        <v>0</v>
      </c>
    </row>
    <row r="276" customFormat="false" ht="16.5" hidden="false" customHeight="true" outlineLevel="0" collapsed="false">
      <c r="E276" s="1" t="n">
        <f aca="false">$E$13-($F$13-F276)*7</f>
        <v>44373</v>
      </c>
      <c r="F276" s="12" t="n">
        <v>969</v>
      </c>
      <c r="G276" s="16" t="n">
        <v>3</v>
      </c>
      <c r="H276" s="17" t="n">
        <v>9</v>
      </c>
      <c r="I276" s="18" t="n">
        <v>10</v>
      </c>
      <c r="J276" s="19" t="n">
        <v>29</v>
      </c>
      <c r="K276" s="20" t="n">
        <v>40</v>
      </c>
      <c r="L276" s="21" t="n">
        <v>45</v>
      </c>
      <c r="M276" s="22" t="n">
        <v>7</v>
      </c>
      <c r="N276" s="15" t="n">
        <f aca="false">SUMPRODUCT(COUNTIF(G276:L276,번호조회!$B$4:$B$9))</f>
        <v>0</v>
      </c>
    </row>
    <row r="277" customFormat="false" ht="16.5" hidden="false" customHeight="true" outlineLevel="0" collapsed="false">
      <c r="E277" s="1" t="n">
        <f aca="false">$E$13-($F$13-F277)*7</f>
        <v>44366</v>
      </c>
      <c r="F277" s="12" t="n">
        <v>968</v>
      </c>
      <c r="G277" s="16" t="n">
        <v>2</v>
      </c>
      <c r="H277" s="17" t="n">
        <v>5</v>
      </c>
      <c r="I277" s="18" t="n">
        <v>12</v>
      </c>
      <c r="J277" s="19" t="n">
        <v>14</v>
      </c>
      <c r="K277" s="20" t="n">
        <v>24</v>
      </c>
      <c r="L277" s="21" t="n">
        <v>39</v>
      </c>
      <c r="M277" s="22" t="n">
        <v>33</v>
      </c>
      <c r="N277" s="15" t="n">
        <f aca="false">SUMPRODUCT(COUNTIF(G277:L277,번호조회!$B$4:$B$9))</f>
        <v>0</v>
      </c>
    </row>
    <row r="278" customFormat="false" ht="16.5" hidden="false" customHeight="true" outlineLevel="0" collapsed="false">
      <c r="E278" s="1" t="n">
        <f aca="false">$E$13-($F$13-F278)*7</f>
        <v>44359</v>
      </c>
      <c r="F278" s="12" t="n">
        <v>967</v>
      </c>
      <c r="G278" s="16" t="n">
        <v>1</v>
      </c>
      <c r="H278" s="17" t="n">
        <v>6</v>
      </c>
      <c r="I278" s="18" t="n">
        <v>13</v>
      </c>
      <c r="J278" s="19" t="n">
        <v>37</v>
      </c>
      <c r="K278" s="20" t="n">
        <v>38</v>
      </c>
      <c r="L278" s="21" t="n">
        <v>40</v>
      </c>
      <c r="M278" s="22" t="n">
        <v>9</v>
      </c>
      <c r="N278" s="15" t="n">
        <f aca="false">SUMPRODUCT(COUNTIF(G278:L278,번호조회!$B$4:$B$9))</f>
        <v>0</v>
      </c>
    </row>
    <row r="279" customFormat="false" ht="16.5" hidden="false" customHeight="true" outlineLevel="0" collapsed="false">
      <c r="E279" s="1" t="n">
        <f aca="false">$E$13-($F$13-F279)*7</f>
        <v>44352</v>
      </c>
      <c r="F279" s="12" t="n">
        <v>966</v>
      </c>
      <c r="G279" s="16" t="n">
        <v>1</v>
      </c>
      <c r="H279" s="17" t="n">
        <v>21</v>
      </c>
      <c r="I279" s="18" t="n">
        <v>25</v>
      </c>
      <c r="J279" s="19" t="n">
        <v>29</v>
      </c>
      <c r="K279" s="20" t="n">
        <v>34</v>
      </c>
      <c r="L279" s="21" t="n">
        <v>37</v>
      </c>
      <c r="M279" s="22" t="n">
        <v>36</v>
      </c>
      <c r="N279" s="15" t="n">
        <f aca="false">SUMPRODUCT(COUNTIF(G279:L279,번호조회!$B$4:$B$9))</f>
        <v>0</v>
      </c>
    </row>
    <row r="280" customFormat="false" ht="16.5" hidden="false" customHeight="true" outlineLevel="0" collapsed="false">
      <c r="E280" s="1" t="n">
        <f aca="false">$E$13-($F$13-F280)*7</f>
        <v>44345</v>
      </c>
      <c r="F280" s="12" t="n">
        <v>965</v>
      </c>
      <c r="G280" s="16" t="n">
        <v>2</v>
      </c>
      <c r="H280" s="17" t="n">
        <v>13</v>
      </c>
      <c r="I280" s="18" t="n">
        <v>25</v>
      </c>
      <c r="J280" s="19" t="n">
        <v>28</v>
      </c>
      <c r="K280" s="20" t="n">
        <v>29</v>
      </c>
      <c r="L280" s="21" t="n">
        <v>36</v>
      </c>
      <c r="M280" s="22" t="n">
        <v>34</v>
      </c>
      <c r="N280" s="15" t="n">
        <f aca="false">SUMPRODUCT(COUNTIF(G280:L280,번호조회!$B$4:$B$9))</f>
        <v>0</v>
      </c>
    </row>
    <row r="281" customFormat="false" ht="16.5" hidden="false" customHeight="true" outlineLevel="0" collapsed="false">
      <c r="E281" s="1" t="n">
        <f aca="false">$E$13-($F$13-F281)*7</f>
        <v>44338</v>
      </c>
      <c r="F281" s="12" t="n">
        <v>964</v>
      </c>
      <c r="G281" s="16" t="n">
        <v>6</v>
      </c>
      <c r="H281" s="17" t="n">
        <v>21</v>
      </c>
      <c r="I281" s="18" t="n">
        <v>36</v>
      </c>
      <c r="J281" s="19" t="n">
        <v>38</v>
      </c>
      <c r="K281" s="20" t="n">
        <v>39</v>
      </c>
      <c r="L281" s="21" t="n">
        <v>43</v>
      </c>
      <c r="M281" s="22" t="n">
        <v>30</v>
      </c>
      <c r="N281" s="15" t="n">
        <f aca="false">SUMPRODUCT(COUNTIF(G281:L281,번호조회!$B$4:$B$9))</f>
        <v>0</v>
      </c>
    </row>
    <row r="282" customFormat="false" ht="16.5" hidden="false" customHeight="true" outlineLevel="0" collapsed="false">
      <c r="E282" s="1" t="n">
        <f aca="false">$E$13-($F$13-F282)*7</f>
        <v>44331</v>
      </c>
      <c r="F282" s="12" t="n">
        <v>963</v>
      </c>
      <c r="G282" s="16" t="n">
        <v>6</v>
      </c>
      <c r="H282" s="17" t="n">
        <v>12</v>
      </c>
      <c r="I282" s="18" t="n">
        <v>19</v>
      </c>
      <c r="J282" s="19" t="n">
        <v>23</v>
      </c>
      <c r="K282" s="20" t="n">
        <v>34</v>
      </c>
      <c r="L282" s="21" t="n">
        <v>42</v>
      </c>
      <c r="M282" s="22" t="n">
        <v>35</v>
      </c>
      <c r="N282" s="15" t="n">
        <f aca="false">SUMPRODUCT(COUNTIF(G282:L282,번호조회!$B$4:$B$9))</f>
        <v>0</v>
      </c>
    </row>
    <row r="283" customFormat="false" ht="16.5" hidden="false" customHeight="true" outlineLevel="0" collapsed="false">
      <c r="E283" s="1" t="n">
        <f aca="false">$E$13-($F$13-F283)*7</f>
        <v>44324</v>
      </c>
      <c r="F283" s="12" t="n">
        <v>962</v>
      </c>
      <c r="G283" s="16" t="n">
        <v>1</v>
      </c>
      <c r="H283" s="17" t="n">
        <v>18</v>
      </c>
      <c r="I283" s="18" t="n">
        <v>28</v>
      </c>
      <c r="J283" s="19" t="n">
        <v>31</v>
      </c>
      <c r="K283" s="20" t="n">
        <v>34</v>
      </c>
      <c r="L283" s="21" t="n">
        <v>43</v>
      </c>
      <c r="M283" s="22" t="n">
        <v>40</v>
      </c>
      <c r="N283" s="15" t="n">
        <f aca="false">SUMPRODUCT(COUNTIF(G283:L283,번호조회!$B$4:$B$9))</f>
        <v>0</v>
      </c>
    </row>
    <row r="284" customFormat="false" ht="16.5" hidden="false" customHeight="true" outlineLevel="0" collapsed="false">
      <c r="E284" s="1" t="n">
        <f aca="false">$E$13-($F$13-F284)*7</f>
        <v>44317</v>
      </c>
      <c r="F284" s="12" t="n">
        <v>961</v>
      </c>
      <c r="G284" s="16" t="n">
        <v>11</v>
      </c>
      <c r="H284" s="17" t="n">
        <v>20</v>
      </c>
      <c r="I284" s="18" t="n">
        <v>29</v>
      </c>
      <c r="J284" s="19" t="n">
        <v>31</v>
      </c>
      <c r="K284" s="20" t="n">
        <v>33</v>
      </c>
      <c r="L284" s="21" t="n">
        <v>42</v>
      </c>
      <c r="M284" s="22" t="n">
        <v>43</v>
      </c>
      <c r="N284" s="15" t="n">
        <f aca="false">SUMPRODUCT(COUNTIF(G284:L284,번호조회!$B$4:$B$9))</f>
        <v>0</v>
      </c>
    </row>
    <row r="285" customFormat="false" ht="16.5" hidden="false" customHeight="true" outlineLevel="0" collapsed="false">
      <c r="E285" s="1" t="n">
        <f aca="false">$E$13-($F$13-F285)*7</f>
        <v>44310</v>
      </c>
      <c r="F285" s="12" t="n">
        <v>960</v>
      </c>
      <c r="G285" s="16" t="n">
        <v>2</v>
      </c>
      <c r="H285" s="17" t="n">
        <v>18</v>
      </c>
      <c r="I285" s="18" t="n">
        <v>24</v>
      </c>
      <c r="J285" s="19" t="n">
        <v>30</v>
      </c>
      <c r="K285" s="20" t="n">
        <v>32</v>
      </c>
      <c r="L285" s="21" t="n">
        <v>45</v>
      </c>
      <c r="M285" s="22" t="n">
        <v>14</v>
      </c>
      <c r="N285" s="15" t="n">
        <f aca="false">SUMPRODUCT(COUNTIF(G285:L285,번호조회!$B$4:$B$9))</f>
        <v>0</v>
      </c>
    </row>
    <row r="286" customFormat="false" ht="16.5" hidden="false" customHeight="true" outlineLevel="0" collapsed="false">
      <c r="E286" s="1" t="n">
        <f aca="false">$E$13-($F$13-F286)*7</f>
        <v>44303</v>
      </c>
      <c r="F286" s="12" t="n">
        <v>959</v>
      </c>
      <c r="G286" s="16" t="n">
        <v>1</v>
      </c>
      <c r="H286" s="17" t="n">
        <v>14</v>
      </c>
      <c r="I286" s="18" t="n">
        <v>15</v>
      </c>
      <c r="J286" s="19" t="n">
        <v>24</v>
      </c>
      <c r="K286" s="20" t="n">
        <v>40</v>
      </c>
      <c r="L286" s="21" t="n">
        <v>41</v>
      </c>
      <c r="M286" s="22" t="n">
        <v>35</v>
      </c>
      <c r="N286" s="15" t="n">
        <f aca="false">SUMPRODUCT(COUNTIF(G286:L286,번호조회!$B$4:$B$9))</f>
        <v>0</v>
      </c>
    </row>
    <row r="287" customFormat="false" ht="16.5" hidden="false" customHeight="true" outlineLevel="0" collapsed="false">
      <c r="E287" s="1" t="n">
        <f aca="false">$E$13-($F$13-F287)*7</f>
        <v>44296</v>
      </c>
      <c r="F287" s="12" t="n">
        <v>958</v>
      </c>
      <c r="G287" s="16" t="n">
        <v>2</v>
      </c>
      <c r="H287" s="17" t="n">
        <v>9</v>
      </c>
      <c r="I287" s="18" t="n">
        <v>10</v>
      </c>
      <c r="J287" s="19" t="n">
        <v>16</v>
      </c>
      <c r="K287" s="20" t="n">
        <v>35</v>
      </c>
      <c r="L287" s="21" t="n">
        <v>37</v>
      </c>
      <c r="M287" s="22" t="n">
        <v>1</v>
      </c>
      <c r="N287" s="15" t="n">
        <f aca="false">SUMPRODUCT(COUNTIF(G287:L287,번호조회!$B$4:$B$9))</f>
        <v>0</v>
      </c>
    </row>
    <row r="288" customFormat="false" ht="16.5" hidden="false" customHeight="true" outlineLevel="0" collapsed="false">
      <c r="E288" s="1" t="n">
        <f aca="false">$E$13-($F$13-F288)*7</f>
        <v>44289</v>
      </c>
      <c r="F288" s="12" t="n">
        <v>957</v>
      </c>
      <c r="G288" s="16" t="n">
        <v>4</v>
      </c>
      <c r="H288" s="17" t="n">
        <v>15</v>
      </c>
      <c r="I288" s="18" t="n">
        <v>24</v>
      </c>
      <c r="J288" s="19" t="n">
        <v>35</v>
      </c>
      <c r="K288" s="20" t="n">
        <v>36</v>
      </c>
      <c r="L288" s="21" t="n">
        <v>40</v>
      </c>
      <c r="M288" s="22" t="n">
        <v>1</v>
      </c>
      <c r="N288" s="15" t="n">
        <f aca="false">SUMPRODUCT(COUNTIF(G288:L288,번호조회!$B$4:$B$9))</f>
        <v>0</v>
      </c>
    </row>
    <row r="289" customFormat="false" ht="16.5" hidden="false" customHeight="true" outlineLevel="0" collapsed="false">
      <c r="E289" s="1" t="n">
        <f aca="false">$E$13-($F$13-F289)*7</f>
        <v>44282</v>
      </c>
      <c r="F289" s="12" t="n">
        <v>956</v>
      </c>
      <c r="G289" s="16" t="n">
        <v>10</v>
      </c>
      <c r="H289" s="17" t="n">
        <v>11</v>
      </c>
      <c r="I289" s="18" t="n">
        <v>20</v>
      </c>
      <c r="J289" s="19" t="n">
        <v>21</v>
      </c>
      <c r="K289" s="20" t="n">
        <v>25</v>
      </c>
      <c r="L289" s="21" t="n">
        <v>41</v>
      </c>
      <c r="M289" s="22" t="n">
        <v>40</v>
      </c>
      <c r="N289" s="15" t="n">
        <f aca="false">SUMPRODUCT(COUNTIF(G289:L289,번호조회!$B$4:$B$9))</f>
        <v>0</v>
      </c>
    </row>
    <row r="290" customFormat="false" ht="16.5" hidden="false" customHeight="true" outlineLevel="0" collapsed="false">
      <c r="E290" s="1" t="n">
        <f aca="false">$E$13-($F$13-F290)*7</f>
        <v>44275</v>
      </c>
      <c r="F290" s="12" t="n">
        <v>955</v>
      </c>
      <c r="G290" s="16" t="n">
        <v>4</v>
      </c>
      <c r="H290" s="17" t="n">
        <v>9</v>
      </c>
      <c r="I290" s="18" t="n">
        <v>23</v>
      </c>
      <c r="J290" s="19" t="n">
        <v>26</v>
      </c>
      <c r="K290" s="20" t="n">
        <v>29</v>
      </c>
      <c r="L290" s="21" t="n">
        <v>33</v>
      </c>
      <c r="M290" s="22" t="n">
        <v>8</v>
      </c>
      <c r="N290" s="15" t="n">
        <f aca="false">SUMPRODUCT(COUNTIF(G290:L290,번호조회!$B$4:$B$9))</f>
        <v>0</v>
      </c>
    </row>
    <row r="291" customFormat="false" ht="16.5" hidden="false" customHeight="true" outlineLevel="0" collapsed="false">
      <c r="E291" s="1" t="n">
        <f aca="false">$E$13-($F$13-F291)*7</f>
        <v>44268</v>
      </c>
      <c r="F291" s="12" t="n">
        <v>954</v>
      </c>
      <c r="G291" s="16" t="n">
        <v>1</v>
      </c>
      <c r="H291" s="17" t="n">
        <v>9</v>
      </c>
      <c r="I291" s="18" t="n">
        <v>26</v>
      </c>
      <c r="J291" s="19" t="n">
        <v>28</v>
      </c>
      <c r="K291" s="20" t="n">
        <v>30</v>
      </c>
      <c r="L291" s="21" t="n">
        <v>41</v>
      </c>
      <c r="M291" s="22" t="n">
        <v>32</v>
      </c>
      <c r="N291" s="15" t="n">
        <f aca="false">SUMPRODUCT(COUNTIF(G291:L291,번호조회!$B$4:$B$9))</f>
        <v>0</v>
      </c>
    </row>
    <row r="292" customFormat="false" ht="16.5" hidden="false" customHeight="true" outlineLevel="0" collapsed="false">
      <c r="E292" s="1" t="n">
        <f aca="false">$E$13-($F$13-F292)*7</f>
        <v>44261</v>
      </c>
      <c r="F292" s="12" t="n">
        <v>953</v>
      </c>
      <c r="G292" s="16" t="n">
        <v>7</v>
      </c>
      <c r="H292" s="17" t="n">
        <v>9</v>
      </c>
      <c r="I292" s="18" t="n">
        <v>22</v>
      </c>
      <c r="J292" s="19" t="n">
        <v>27</v>
      </c>
      <c r="K292" s="20" t="n">
        <v>37</v>
      </c>
      <c r="L292" s="21" t="n">
        <v>42</v>
      </c>
      <c r="M292" s="22" t="n">
        <v>34</v>
      </c>
      <c r="N292" s="15" t="n">
        <f aca="false">SUMPRODUCT(COUNTIF(G292:L292,번호조회!$B$4:$B$9))</f>
        <v>0</v>
      </c>
    </row>
    <row r="293" customFormat="false" ht="16.5" hidden="false" customHeight="true" outlineLevel="0" collapsed="false">
      <c r="E293" s="1" t="n">
        <f aca="false">$E$13-($F$13-F293)*7</f>
        <v>44254</v>
      </c>
      <c r="F293" s="12" t="n">
        <v>952</v>
      </c>
      <c r="G293" s="16" t="n">
        <v>4</v>
      </c>
      <c r="H293" s="17" t="n">
        <v>12</v>
      </c>
      <c r="I293" s="18" t="n">
        <v>22</v>
      </c>
      <c r="J293" s="19" t="n">
        <v>24</v>
      </c>
      <c r="K293" s="20" t="n">
        <v>33</v>
      </c>
      <c r="L293" s="21" t="n">
        <v>41</v>
      </c>
      <c r="M293" s="22" t="n">
        <v>38</v>
      </c>
      <c r="N293" s="15" t="n">
        <f aca="false">SUMPRODUCT(COUNTIF(G293:L293,번호조회!$B$4:$B$9))</f>
        <v>0</v>
      </c>
    </row>
    <row r="294" customFormat="false" ht="16.5" hidden="false" customHeight="true" outlineLevel="0" collapsed="false">
      <c r="E294" s="1" t="n">
        <f aca="false">$E$13-($F$13-F294)*7</f>
        <v>44247</v>
      </c>
      <c r="F294" s="12" t="n">
        <v>951</v>
      </c>
      <c r="G294" s="16" t="n">
        <v>2</v>
      </c>
      <c r="H294" s="17" t="n">
        <v>12</v>
      </c>
      <c r="I294" s="18" t="n">
        <v>30</v>
      </c>
      <c r="J294" s="19" t="n">
        <v>31</v>
      </c>
      <c r="K294" s="20" t="n">
        <v>39</v>
      </c>
      <c r="L294" s="21" t="n">
        <v>43</v>
      </c>
      <c r="M294" s="22" t="n">
        <v>38</v>
      </c>
      <c r="N294" s="15" t="n">
        <f aca="false">SUMPRODUCT(COUNTIF(G294:L294,번호조회!$B$4:$B$9))</f>
        <v>0</v>
      </c>
    </row>
    <row r="295" customFormat="false" ht="16.5" hidden="false" customHeight="true" outlineLevel="0" collapsed="false">
      <c r="E295" s="1" t="n">
        <f aca="false">$E$13-($F$13-F295)*7</f>
        <v>44240</v>
      </c>
      <c r="F295" s="12" t="n">
        <v>950</v>
      </c>
      <c r="G295" s="16" t="n">
        <v>3</v>
      </c>
      <c r="H295" s="17" t="n">
        <v>4</v>
      </c>
      <c r="I295" s="18" t="n">
        <v>15</v>
      </c>
      <c r="J295" s="19" t="n">
        <v>22</v>
      </c>
      <c r="K295" s="20" t="n">
        <v>28</v>
      </c>
      <c r="L295" s="21" t="n">
        <v>40</v>
      </c>
      <c r="M295" s="22" t="n">
        <v>10</v>
      </c>
      <c r="N295" s="15" t="n">
        <f aca="false">SUMPRODUCT(COUNTIF(G295:L295,번호조회!$B$4:$B$9))</f>
        <v>0</v>
      </c>
    </row>
    <row r="296" customFormat="false" ht="16.5" hidden="false" customHeight="true" outlineLevel="0" collapsed="false">
      <c r="E296" s="1" t="n">
        <f aca="false">$E$13-($F$13-F296)*7</f>
        <v>44233</v>
      </c>
      <c r="F296" s="12" t="n">
        <v>949</v>
      </c>
      <c r="G296" s="16" t="n">
        <v>14</v>
      </c>
      <c r="H296" s="17" t="n">
        <v>21</v>
      </c>
      <c r="I296" s="18" t="n">
        <v>35</v>
      </c>
      <c r="J296" s="19" t="n">
        <v>36</v>
      </c>
      <c r="K296" s="20" t="n">
        <v>40</v>
      </c>
      <c r="L296" s="21" t="n">
        <v>44</v>
      </c>
      <c r="M296" s="22" t="n">
        <v>30</v>
      </c>
      <c r="N296" s="15" t="n">
        <f aca="false">SUMPRODUCT(COUNTIF(G296:L296,번호조회!$B$4:$B$9))</f>
        <v>0</v>
      </c>
    </row>
    <row r="297" customFormat="false" ht="16.5" hidden="false" customHeight="true" outlineLevel="0" collapsed="false">
      <c r="E297" s="1" t="n">
        <f aca="false">$E$13-($F$13-F297)*7</f>
        <v>44226</v>
      </c>
      <c r="F297" s="12" t="n">
        <v>948</v>
      </c>
      <c r="G297" s="16" t="n">
        <v>13</v>
      </c>
      <c r="H297" s="17" t="n">
        <v>18</v>
      </c>
      <c r="I297" s="18" t="n">
        <v>30</v>
      </c>
      <c r="J297" s="19" t="n">
        <v>31</v>
      </c>
      <c r="K297" s="20" t="n">
        <v>38</v>
      </c>
      <c r="L297" s="21" t="n">
        <v>41</v>
      </c>
      <c r="M297" s="22" t="n">
        <v>5</v>
      </c>
      <c r="N297" s="15" t="n">
        <f aca="false">SUMPRODUCT(COUNTIF(G297:L297,번호조회!$B$4:$B$9))</f>
        <v>0</v>
      </c>
    </row>
    <row r="298" customFormat="false" ht="16.5" hidden="false" customHeight="true" outlineLevel="0" collapsed="false">
      <c r="E298" s="1" t="n">
        <f aca="false">$E$13-($F$13-F298)*7</f>
        <v>44219</v>
      </c>
      <c r="F298" s="12" t="n">
        <v>947</v>
      </c>
      <c r="G298" s="16" t="n">
        <v>3</v>
      </c>
      <c r="H298" s="17" t="n">
        <v>8</v>
      </c>
      <c r="I298" s="18" t="n">
        <v>17</v>
      </c>
      <c r="J298" s="19" t="n">
        <v>20</v>
      </c>
      <c r="K298" s="20" t="n">
        <v>27</v>
      </c>
      <c r="L298" s="21" t="n">
        <v>35</v>
      </c>
      <c r="M298" s="22" t="n">
        <v>26</v>
      </c>
      <c r="N298" s="15" t="n">
        <f aca="false">SUMPRODUCT(COUNTIF(G298:L298,번호조회!$B$4:$B$9))</f>
        <v>0</v>
      </c>
    </row>
    <row r="299" customFormat="false" ht="16.5" hidden="false" customHeight="true" outlineLevel="0" collapsed="false">
      <c r="E299" s="1" t="n">
        <f aca="false">$E$13-($F$13-F299)*7</f>
        <v>44212</v>
      </c>
      <c r="F299" s="12" t="n">
        <v>946</v>
      </c>
      <c r="G299" s="16" t="n">
        <v>9</v>
      </c>
      <c r="H299" s="17" t="n">
        <v>18</v>
      </c>
      <c r="I299" s="18" t="n">
        <v>19</v>
      </c>
      <c r="J299" s="19" t="n">
        <v>30</v>
      </c>
      <c r="K299" s="20" t="n">
        <v>34</v>
      </c>
      <c r="L299" s="21" t="n">
        <v>40</v>
      </c>
      <c r="M299" s="22" t="n">
        <v>20</v>
      </c>
      <c r="N299" s="15" t="n">
        <f aca="false">SUMPRODUCT(COUNTIF(G299:L299,번호조회!$B$4:$B$9))</f>
        <v>0</v>
      </c>
    </row>
    <row r="300" customFormat="false" ht="16.5" hidden="false" customHeight="true" outlineLevel="0" collapsed="false">
      <c r="E300" s="1" t="n">
        <f aca="false">$E$13-($F$13-F300)*7</f>
        <v>44205</v>
      </c>
      <c r="F300" s="12" t="n">
        <v>945</v>
      </c>
      <c r="G300" s="16" t="n">
        <v>9</v>
      </c>
      <c r="H300" s="17" t="n">
        <v>10</v>
      </c>
      <c r="I300" s="18" t="n">
        <v>15</v>
      </c>
      <c r="J300" s="19" t="n">
        <v>30</v>
      </c>
      <c r="K300" s="20" t="n">
        <v>33</v>
      </c>
      <c r="L300" s="21" t="n">
        <v>37</v>
      </c>
      <c r="M300" s="22" t="n">
        <v>26</v>
      </c>
      <c r="N300" s="15" t="n">
        <f aca="false">SUMPRODUCT(COUNTIF(G300:L300,번호조회!$B$4:$B$9))</f>
        <v>0</v>
      </c>
    </row>
    <row r="301" customFormat="false" ht="16.5" hidden="false" customHeight="true" outlineLevel="0" collapsed="false">
      <c r="E301" s="1" t="n">
        <f aca="false">$E$13-($F$13-F301)*7</f>
        <v>44198</v>
      </c>
      <c r="F301" s="12" t="n">
        <v>944</v>
      </c>
      <c r="G301" s="16" t="n">
        <v>2</v>
      </c>
      <c r="H301" s="17" t="n">
        <v>13</v>
      </c>
      <c r="I301" s="18" t="n">
        <v>16</v>
      </c>
      <c r="J301" s="19" t="n">
        <v>19</v>
      </c>
      <c r="K301" s="20" t="n">
        <v>32</v>
      </c>
      <c r="L301" s="21" t="n">
        <v>33</v>
      </c>
      <c r="M301" s="22" t="n">
        <v>42</v>
      </c>
      <c r="N301" s="15" t="n">
        <f aca="false">SUMPRODUCT(COUNTIF(G301:L301,번호조회!$B$4:$B$9))</f>
        <v>0</v>
      </c>
    </row>
    <row r="302" customFormat="false" ht="16.5" hidden="false" customHeight="true" outlineLevel="0" collapsed="false">
      <c r="E302" s="1" t="n">
        <f aca="false">$E$13-($F$13-F302)*7</f>
        <v>44191</v>
      </c>
      <c r="F302" s="12" t="n">
        <v>943</v>
      </c>
      <c r="G302" s="16" t="n">
        <v>1</v>
      </c>
      <c r="H302" s="17" t="n">
        <v>8</v>
      </c>
      <c r="I302" s="18" t="n">
        <v>13</v>
      </c>
      <c r="J302" s="19" t="n">
        <v>36</v>
      </c>
      <c r="K302" s="20" t="n">
        <v>44</v>
      </c>
      <c r="L302" s="21" t="n">
        <v>45</v>
      </c>
      <c r="M302" s="22" t="n">
        <v>39</v>
      </c>
      <c r="N302" s="15" t="n">
        <f aca="false">SUMPRODUCT(COUNTIF(G302:L302,번호조회!$B$4:$B$9))</f>
        <v>0</v>
      </c>
    </row>
    <row r="303" customFormat="false" ht="16.5" hidden="false" customHeight="true" outlineLevel="0" collapsed="false">
      <c r="E303" s="1" t="n">
        <f aca="false">$E$13-($F$13-F303)*7</f>
        <v>44184</v>
      </c>
      <c r="F303" s="12" t="n">
        <v>942</v>
      </c>
      <c r="G303" s="16" t="n">
        <v>10</v>
      </c>
      <c r="H303" s="17" t="n">
        <v>12</v>
      </c>
      <c r="I303" s="18" t="n">
        <v>18</v>
      </c>
      <c r="J303" s="19" t="n">
        <v>35</v>
      </c>
      <c r="K303" s="20" t="n">
        <v>42</v>
      </c>
      <c r="L303" s="21" t="n">
        <v>43</v>
      </c>
      <c r="M303" s="22" t="n">
        <v>39</v>
      </c>
      <c r="N303" s="15" t="n">
        <f aca="false">SUMPRODUCT(COUNTIF(G303:L303,번호조회!$B$4:$B$9))</f>
        <v>0</v>
      </c>
    </row>
    <row r="304" customFormat="false" ht="16.5" hidden="false" customHeight="true" outlineLevel="0" collapsed="false">
      <c r="E304" s="1" t="n">
        <f aca="false">$E$13-($F$13-F304)*7</f>
        <v>44177</v>
      </c>
      <c r="F304" s="12" t="n">
        <v>941</v>
      </c>
      <c r="G304" s="16" t="n">
        <v>12</v>
      </c>
      <c r="H304" s="17" t="n">
        <v>14</v>
      </c>
      <c r="I304" s="18" t="n">
        <v>25</v>
      </c>
      <c r="J304" s="19" t="n">
        <v>27</v>
      </c>
      <c r="K304" s="20" t="n">
        <v>39</v>
      </c>
      <c r="L304" s="21" t="n">
        <v>40</v>
      </c>
      <c r="M304" s="22" t="n">
        <v>35</v>
      </c>
      <c r="N304" s="15" t="n">
        <f aca="false">SUMPRODUCT(COUNTIF(G304:L304,번호조회!$B$4:$B$9))</f>
        <v>0</v>
      </c>
    </row>
    <row r="305" customFormat="false" ht="16.5" hidden="false" customHeight="true" outlineLevel="0" collapsed="false">
      <c r="E305" s="1" t="n">
        <f aca="false">$E$13-($F$13-F305)*7</f>
        <v>44170</v>
      </c>
      <c r="F305" s="12" t="n">
        <v>940</v>
      </c>
      <c r="G305" s="16" t="n">
        <v>3</v>
      </c>
      <c r="H305" s="17" t="n">
        <v>15</v>
      </c>
      <c r="I305" s="18" t="n">
        <v>20</v>
      </c>
      <c r="J305" s="19" t="n">
        <v>22</v>
      </c>
      <c r="K305" s="20" t="n">
        <v>24</v>
      </c>
      <c r="L305" s="21" t="n">
        <v>41</v>
      </c>
      <c r="M305" s="22" t="n">
        <v>11</v>
      </c>
      <c r="N305" s="15" t="n">
        <f aca="false">SUMPRODUCT(COUNTIF(G305:L305,번호조회!$B$4:$B$9))</f>
        <v>0</v>
      </c>
    </row>
    <row r="306" customFormat="false" ht="16.5" hidden="false" customHeight="true" outlineLevel="0" collapsed="false">
      <c r="E306" s="1" t="n">
        <f aca="false">$E$13-($F$13-F306)*7</f>
        <v>44163</v>
      </c>
      <c r="F306" s="12" t="n">
        <v>939</v>
      </c>
      <c r="G306" s="16" t="n">
        <v>4</v>
      </c>
      <c r="H306" s="17" t="n">
        <v>11</v>
      </c>
      <c r="I306" s="18" t="n">
        <v>28</v>
      </c>
      <c r="J306" s="19" t="n">
        <v>39</v>
      </c>
      <c r="K306" s="20" t="n">
        <v>42</v>
      </c>
      <c r="L306" s="21" t="n">
        <v>45</v>
      </c>
      <c r="M306" s="22" t="n">
        <v>6</v>
      </c>
      <c r="N306" s="15" t="n">
        <f aca="false">SUMPRODUCT(COUNTIF(G306:L306,번호조회!$B$4:$B$9))</f>
        <v>0</v>
      </c>
    </row>
    <row r="307" customFormat="false" ht="16.5" hidden="false" customHeight="true" outlineLevel="0" collapsed="false">
      <c r="E307" s="1" t="n">
        <f aca="false">$E$13-($F$13-F307)*7</f>
        <v>44156</v>
      </c>
      <c r="F307" s="12" t="n">
        <v>938</v>
      </c>
      <c r="G307" s="16" t="n">
        <v>4</v>
      </c>
      <c r="H307" s="17" t="n">
        <v>8</v>
      </c>
      <c r="I307" s="18" t="n">
        <v>10</v>
      </c>
      <c r="J307" s="19" t="n">
        <v>16</v>
      </c>
      <c r="K307" s="20" t="n">
        <v>31</v>
      </c>
      <c r="L307" s="21" t="n">
        <v>36</v>
      </c>
      <c r="M307" s="22" t="n">
        <v>9</v>
      </c>
      <c r="N307" s="15" t="n">
        <f aca="false">SUMPRODUCT(COUNTIF(G307:L307,번호조회!$B$4:$B$9))</f>
        <v>0</v>
      </c>
    </row>
    <row r="308" customFormat="false" ht="16.5" hidden="false" customHeight="true" outlineLevel="0" collapsed="false">
      <c r="E308" s="1" t="n">
        <f aca="false">$E$13-($F$13-F308)*7</f>
        <v>44149</v>
      </c>
      <c r="F308" s="12" t="n">
        <v>937</v>
      </c>
      <c r="G308" s="16" t="n">
        <v>2</v>
      </c>
      <c r="H308" s="17" t="n">
        <v>10</v>
      </c>
      <c r="I308" s="18" t="n">
        <v>13</v>
      </c>
      <c r="J308" s="19" t="n">
        <v>22</v>
      </c>
      <c r="K308" s="20" t="n">
        <v>29</v>
      </c>
      <c r="L308" s="21" t="n">
        <v>40</v>
      </c>
      <c r="M308" s="22" t="n">
        <v>26</v>
      </c>
      <c r="N308" s="15" t="n">
        <f aca="false">SUMPRODUCT(COUNTIF(G308:L308,번호조회!$B$4:$B$9))</f>
        <v>0</v>
      </c>
    </row>
    <row r="309" customFormat="false" ht="16.5" hidden="false" customHeight="true" outlineLevel="0" collapsed="false">
      <c r="E309" s="1" t="n">
        <f aca="false">$E$13-($F$13-F309)*7</f>
        <v>44142</v>
      </c>
      <c r="F309" s="12" t="n">
        <v>936</v>
      </c>
      <c r="G309" s="16" t="n">
        <v>7</v>
      </c>
      <c r="H309" s="17" t="n">
        <v>11</v>
      </c>
      <c r="I309" s="18" t="n">
        <v>13</v>
      </c>
      <c r="J309" s="19" t="n">
        <v>17</v>
      </c>
      <c r="K309" s="20" t="n">
        <v>18</v>
      </c>
      <c r="L309" s="21" t="n">
        <v>29</v>
      </c>
      <c r="M309" s="22" t="n">
        <v>43</v>
      </c>
      <c r="N309" s="15" t="n">
        <f aca="false">SUMPRODUCT(COUNTIF(G309:L309,번호조회!$B$4:$B$9))</f>
        <v>0</v>
      </c>
    </row>
    <row r="310" customFormat="false" ht="16.5" hidden="false" customHeight="true" outlineLevel="0" collapsed="false">
      <c r="E310" s="1" t="n">
        <f aca="false">$E$13-($F$13-F310)*7</f>
        <v>44135</v>
      </c>
      <c r="F310" s="12" t="n">
        <v>935</v>
      </c>
      <c r="G310" s="16" t="n">
        <v>4</v>
      </c>
      <c r="H310" s="17" t="n">
        <v>10</v>
      </c>
      <c r="I310" s="18" t="n">
        <v>20</v>
      </c>
      <c r="J310" s="19" t="n">
        <v>32</v>
      </c>
      <c r="K310" s="20" t="n">
        <v>38</v>
      </c>
      <c r="L310" s="21" t="n">
        <v>44</v>
      </c>
      <c r="M310" s="22" t="n">
        <v>18</v>
      </c>
      <c r="N310" s="15" t="n">
        <f aca="false">SUMPRODUCT(COUNTIF(G310:L310,번호조회!$B$4:$B$9))</f>
        <v>0</v>
      </c>
    </row>
    <row r="311" customFormat="false" ht="16.5" hidden="false" customHeight="true" outlineLevel="0" collapsed="false">
      <c r="E311" s="1" t="n">
        <f aca="false">$E$13-($F$13-F311)*7</f>
        <v>44128</v>
      </c>
      <c r="F311" s="12" t="n">
        <v>934</v>
      </c>
      <c r="G311" s="16" t="n">
        <v>1</v>
      </c>
      <c r="H311" s="17" t="n">
        <v>3</v>
      </c>
      <c r="I311" s="18" t="n">
        <v>30</v>
      </c>
      <c r="J311" s="19" t="n">
        <v>33</v>
      </c>
      <c r="K311" s="20" t="n">
        <v>36</v>
      </c>
      <c r="L311" s="21" t="n">
        <v>39</v>
      </c>
      <c r="M311" s="22" t="n">
        <v>12</v>
      </c>
      <c r="N311" s="15" t="n">
        <f aca="false">SUMPRODUCT(COUNTIF(G311:L311,번호조회!$B$4:$B$9))</f>
        <v>0</v>
      </c>
    </row>
    <row r="312" customFormat="false" ht="16.5" hidden="false" customHeight="true" outlineLevel="0" collapsed="false">
      <c r="E312" s="1" t="n">
        <f aca="false">$E$13-($F$13-F312)*7</f>
        <v>44121</v>
      </c>
      <c r="F312" s="12" t="n">
        <v>933</v>
      </c>
      <c r="G312" s="16" t="n">
        <v>23</v>
      </c>
      <c r="H312" s="17" t="n">
        <v>27</v>
      </c>
      <c r="I312" s="18" t="n">
        <v>29</v>
      </c>
      <c r="J312" s="19" t="n">
        <v>31</v>
      </c>
      <c r="K312" s="20" t="n">
        <v>36</v>
      </c>
      <c r="L312" s="21" t="n">
        <v>45</v>
      </c>
      <c r="M312" s="22" t="n">
        <v>37</v>
      </c>
      <c r="N312" s="15" t="n">
        <f aca="false">SUMPRODUCT(COUNTIF(G312:L312,번호조회!$B$4:$B$9))</f>
        <v>0</v>
      </c>
    </row>
    <row r="313" customFormat="false" ht="16.5" hidden="false" customHeight="true" outlineLevel="0" collapsed="false">
      <c r="E313" s="1" t="n">
        <f aca="false">$E$13-($F$13-F313)*7</f>
        <v>44114</v>
      </c>
      <c r="F313" s="12" t="n">
        <v>932</v>
      </c>
      <c r="G313" s="16" t="n">
        <v>1</v>
      </c>
      <c r="H313" s="17" t="n">
        <v>6</v>
      </c>
      <c r="I313" s="18" t="n">
        <v>15</v>
      </c>
      <c r="J313" s="19" t="n">
        <v>36</v>
      </c>
      <c r="K313" s="20" t="n">
        <v>37</v>
      </c>
      <c r="L313" s="21" t="n">
        <v>38</v>
      </c>
      <c r="M313" s="22" t="n">
        <v>5</v>
      </c>
      <c r="N313" s="15" t="n">
        <f aca="false">SUMPRODUCT(COUNTIF(G313:L313,번호조회!$B$4:$B$9))</f>
        <v>0</v>
      </c>
    </row>
    <row r="314" customFormat="false" ht="16.5" hidden="false" customHeight="true" outlineLevel="0" collapsed="false">
      <c r="E314" s="1" t="n">
        <f aca="false">$E$13-($F$13-F314)*7</f>
        <v>44107</v>
      </c>
      <c r="F314" s="12" t="n">
        <v>931</v>
      </c>
      <c r="G314" s="16" t="n">
        <v>14</v>
      </c>
      <c r="H314" s="17" t="n">
        <v>15</v>
      </c>
      <c r="I314" s="18" t="n">
        <v>23</v>
      </c>
      <c r="J314" s="19" t="n">
        <v>25</v>
      </c>
      <c r="K314" s="20" t="n">
        <v>35</v>
      </c>
      <c r="L314" s="21" t="n">
        <v>43</v>
      </c>
      <c r="M314" s="22" t="n">
        <v>32</v>
      </c>
      <c r="N314" s="15" t="n">
        <f aca="false">SUMPRODUCT(COUNTIF(G314:L314,번호조회!$B$4:$B$9))</f>
        <v>0</v>
      </c>
    </row>
    <row r="315" customFormat="false" ht="16.5" hidden="false" customHeight="true" outlineLevel="0" collapsed="false">
      <c r="E315" s="1" t="n">
        <f aca="false">$E$13-($F$13-F315)*7</f>
        <v>44100</v>
      </c>
      <c r="F315" s="12" t="n">
        <v>930</v>
      </c>
      <c r="G315" s="16" t="n">
        <v>8</v>
      </c>
      <c r="H315" s="17" t="n">
        <v>21</v>
      </c>
      <c r="I315" s="18" t="n">
        <v>25</v>
      </c>
      <c r="J315" s="19" t="n">
        <v>38</v>
      </c>
      <c r="K315" s="20" t="n">
        <v>39</v>
      </c>
      <c r="L315" s="21" t="n">
        <v>44</v>
      </c>
      <c r="M315" s="22" t="n">
        <v>28</v>
      </c>
      <c r="N315" s="15" t="n">
        <f aca="false">SUMPRODUCT(COUNTIF(G315:L315,번호조회!$B$4:$B$9))</f>
        <v>0</v>
      </c>
    </row>
    <row r="316" customFormat="false" ht="16.5" hidden="false" customHeight="true" outlineLevel="0" collapsed="false">
      <c r="E316" s="1" t="n">
        <f aca="false">$E$13-($F$13-F316)*7</f>
        <v>44093</v>
      </c>
      <c r="F316" s="12" t="n">
        <v>929</v>
      </c>
      <c r="G316" s="16" t="n">
        <v>7</v>
      </c>
      <c r="H316" s="17" t="n">
        <v>9</v>
      </c>
      <c r="I316" s="18" t="n">
        <v>12</v>
      </c>
      <c r="J316" s="19" t="n">
        <v>15</v>
      </c>
      <c r="K316" s="20" t="n">
        <v>19</v>
      </c>
      <c r="L316" s="21" t="n">
        <v>23</v>
      </c>
      <c r="M316" s="22" t="n">
        <v>4</v>
      </c>
      <c r="N316" s="15" t="n">
        <f aca="false">SUMPRODUCT(COUNTIF(G316:L316,번호조회!$B$4:$B$9))</f>
        <v>0</v>
      </c>
    </row>
    <row r="317" customFormat="false" ht="16.5" hidden="false" customHeight="true" outlineLevel="0" collapsed="false">
      <c r="E317" s="1" t="n">
        <f aca="false">$E$13-($F$13-F317)*7</f>
        <v>44086</v>
      </c>
      <c r="F317" s="12" t="n">
        <v>928</v>
      </c>
      <c r="G317" s="16" t="n">
        <v>3</v>
      </c>
      <c r="H317" s="17" t="n">
        <v>4</v>
      </c>
      <c r="I317" s="18" t="n">
        <v>10</v>
      </c>
      <c r="J317" s="19" t="n">
        <v>20</v>
      </c>
      <c r="K317" s="20" t="n">
        <v>28</v>
      </c>
      <c r="L317" s="21" t="n">
        <v>44</v>
      </c>
      <c r="M317" s="22" t="n">
        <v>30</v>
      </c>
      <c r="N317" s="15" t="n">
        <f aca="false">SUMPRODUCT(COUNTIF(G317:L317,번호조회!$B$4:$B$9))</f>
        <v>0</v>
      </c>
    </row>
    <row r="318" customFormat="false" ht="16.5" hidden="false" customHeight="true" outlineLevel="0" collapsed="false">
      <c r="E318" s="1" t="n">
        <f aca="false">$E$13-($F$13-F318)*7</f>
        <v>44079</v>
      </c>
      <c r="F318" s="12" t="n">
        <v>927</v>
      </c>
      <c r="G318" s="16" t="n">
        <v>4</v>
      </c>
      <c r="H318" s="17" t="n">
        <v>15</v>
      </c>
      <c r="I318" s="18" t="n">
        <v>22</v>
      </c>
      <c r="J318" s="19" t="n">
        <v>38</v>
      </c>
      <c r="K318" s="20" t="n">
        <v>41</v>
      </c>
      <c r="L318" s="21" t="n">
        <v>43</v>
      </c>
      <c r="M318" s="22" t="n">
        <v>26</v>
      </c>
      <c r="N318" s="15" t="n">
        <f aca="false">SUMPRODUCT(COUNTIF(G318:L318,번호조회!$B$4:$B$9))</f>
        <v>0</v>
      </c>
    </row>
    <row r="319" customFormat="false" ht="16.5" hidden="false" customHeight="true" outlineLevel="0" collapsed="false">
      <c r="E319" s="1" t="n">
        <f aca="false">$E$13-($F$13-F319)*7</f>
        <v>44072</v>
      </c>
      <c r="F319" s="12" t="n">
        <v>926</v>
      </c>
      <c r="G319" s="16" t="n">
        <v>10</v>
      </c>
      <c r="H319" s="17" t="n">
        <v>16</v>
      </c>
      <c r="I319" s="18" t="n">
        <v>18</v>
      </c>
      <c r="J319" s="19" t="n">
        <v>20</v>
      </c>
      <c r="K319" s="20" t="n">
        <v>25</v>
      </c>
      <c r="L319" s="21" t="n">
        <v>31</v>
      </c>
      <c r="M319" s="22" t="n">
        <v>6</v>
      </c>
      <c r="N319" s="15" t="n">
        <f aca="false">SUMPRODUCT(COUNTIF(G319:L319,번호조회!$B$4:$B$9))</f>
        <v>0</v>
      </c>
    </row>
    <row r="320" customFormat="false" ht="16.5" hidden="false" customHeight="true" outlineLevel="0" collapsed="false">
      <c r="E320" s="1" t="n">
        <f aca="false">$E$13-($F$13-F320)*7</f>
        <v>44065</v>
      </c>
      <c r="F320" s="12" t="n">
        <v>925</v>
      </c>
      <c r="G320" s="16" t="n">
        <v>13</v>
      </c>
      <c r="H320" s="17" t="n">
        <v>24</v>
      </c>
      <c r="I320" s="18" t="n">
        <v>32</v>
      </c>
      <c r="J320" s="19" t="n">
        <v>34</v>
      </c>
      <c r="K320" s="20" t="n">
        <v>39</v>
      </c>
      <c r="L320" s="21" t="n">
        <v>42</v>
      </c>
      <c r="M320" s="22" t="n">
        <v>4</v>
      </c>
      <c r="N320" s="15" t="n">
        <f aca="false">SUMPRODUCT(COUNTIF(G320:L320,번호조회!$B$4:$B$9))</f>
        <v>0</v>
      </c>
    </row>
    <row r="321" customFormat="false" ht="16.5" hidden="false" customHeight="true" outlineLevel="0" collapsed="false">
      <c r="E321" s="1" t="n">
        <f aca="false">$E$13-($F$13-F321)*7</f>
        <v>44058</v>
      </c>
      <c r="F321" s="12" t="n">
        <v>924</v>
      </c>
      <c r="G321" s="16" t="n">
        <v>3</v>
      </c>
      <c r="H321" s="17" t="n">
        <v>11</v>
      </c>
      <c r="I321" s="18" t="n">
        <v>34</v>
      </c>
      <c r="J321" s="19" t="n">
        <v>42</v>
      </c>
      <c r="K321" s="20" t="n">
        <v>43</v>
      </c>
      <c r="L321" s="21" t="n">
        <v>44</v>
      </c>
      <c r="M321" s="22" t="n">
        <v>13</v>
      </c>
      <c r="N321" s="15" t="n">
        <f aca="false">SUMPRODUCT(COUNTIF(G321:L321,번호조회!$B$4:$B$9))</f>
        <v>0</v>
      </c>
    </row>
    <row r="322" customFormat="false" ht="16.5" hidden="false" customHeight="true" outlineLevel="0" collapsed="false">
      <c r="E322" s="1" t="n">
        <f aca="false">$E$13-($F$13-F322)*7</f>
        <v>44051</v>
      </c>
      <c r="F322" s="12" t="n">
        <v>923</v>
      </c>
      <c r="G322" s="16" t="n">
        <v>3</v>
      </c>
      <c r="H322" s="17" t="n">
        <v>17</v>
      </c>
      <c r="I322" s="18" t="n">
        <v>18</v>
      </c>
      <c r="J322" s="19" t="n">
        <v>23</v>
      </c>
      <c r="K322" s="20" t="n">
        <v>36</v>
      </c>
      <c r="L322" s="21" t="n">
        <v>41</v>
      </c>
      <c r="M322" s="22" t="n">
        <v>26</v>
      </c>
      <c r="N322" s="15" t="n">
        <f aca="false">SUMPRODUCT(COUNTIF(G322:L322,번호조회!$B$4:$B$9))</f>
        <v>0</v>
      </c>
    </row>
    <row r="323" customFormat="false" ht="16.5" hidden="false" customHeight="true" outlineLevel="0" collapsed="false">
      <c r="E323" s="1" t="n">
        <f aca="false">$E$13-($F$13-F323)*7</f>
        <v>44044</v>
      </c>
      <c r="F323" s="12" t="n">
        <v>922</v>
      </c>
      <c r="G323" s="16" t="n">
        <v>2</v>
      </c>
      <c r="H323" s="17" t="n">
        <v>6</v>
      </c>
      <c r="I323" s="18" t="n">
        <v>13</v>
      </c>
      <c r="J323" s="19" t="n">
        <v>17</v>
      </c>
      <c r="K323" s="20" t="n">
        <v>27</v>
      </c>
      <c r="L323" s="21" t="n">
        <v>43</v>
      </c>
      <c r="M323" s="22" t="n">
        <v>36</v>
      </c>
      <c r="N323" s="15" t="n">
        <f aca="false">SUMPRODUCT(COUNTIF(G323:L323,번호조회!$B$4:$B$9))</f>
        <v>0</v>
      </c>
    </row>
    <row r="324" customFormat="false" ht="16.5" hidden="false" customHeight="true" outlineLevel="0" collapsed="false">
      <c r="E324" s="1" t="n">
        <f aca="false">$E$13-($F$13-F324)*7</f>
        <v>44037</v>
      </c>
      <c r="F324" s="12" t="n">
        <v>921</v>
      </c>
      <c r="G324" s="16" t="n">
        <v>5</v>
      </c>
      <c r="H324" s="17" t="n">
        <v>7</v>
      </c>
      <c r="I324" s="18" t="n">
        <v>12</v>
      </c>
      <c r="J324" s="19" t="n">
        <v>22</v>
      </c>
      <c r="K324" s="20" t="n">
        <v>28</v>
      </c>
      <c r="L324" s="21" t="n">
        <v>41</v>
      </c>
      <c r="M324" s="22" t="n">
        <v>1</v>
      </c>
      <c r="N324" s="15" t="n">
        <f aca="false">SUMPRODUCT(COUNTIF(G324:L324,번호조회!$B$4:$B$9))</f>
        <v>0</v>
      </c>
    </row>
    <row r="325" customFormat="false" ht="16.5" hidden="false" customHeight="true" outlineLevel="0" collapsed="false">
      <c r="E325" s="1" t="n">
        <f aca="false">$E$13-($F$13-F325)*7</f>
        <v>44030</v>
      </c>
      <c r="F325" s="12" t="n">
        <v>920</v>
      </c>
      <c r="G325" s="16" t="n">
        <v>2</v>
      </c>
      <c r="H325" s="17" t="n">
        <v>3</v>
      </c>
      <c r="I325" s="18" t="n">
        <v>26</v>
      </c>
      <c r="J325" s="19" t="n">
        <v>33</v>
      </c>
      <c r="K325" s="20" t="n">
        <v>34</v>
      </c>
      <c r="L325" s="21" t="n">
        <v>43</v>
      </c>
      <c r="M325" s="22" t="n">
        <v>29</v>
      </c>
      <c r="N325" s="15" t="n">
        <f aca="false">SUMPRODUCT(COUNTIF(G325:L325,번호조회!$B$4:$B$9))</f>
        <v>0</v>
      </c>
    </row>
    <row r="326" customFormat="false" ht="16.5" hidden="false" customHeight="true" outlineLevel="0" collapsed="false">
      <c r="E326" s="1" t="n">
        <f aca="false">$E$13-($F$13-F326)*7</f>
        <v>44023</v>
      </c>
      <c r="F326" s="12" t="n">
        <v>919</v>
      </c>
      <c r="G326" s="16" t="n">
        <v>9</v>
      </c>
      <c r="H326" s="17" t="n">
        <v>14</v>
      </c>
      <c r="I326" s="18" t="n">
        <v>17</v>
      </c>
      <c r="J326" s="19" t="n">
        <v>18</v>
      </c>
      <c r="K326" s="20" t="n">
        <v>42</v>
      </c>
      <c r="L326" s="21" t="n">
        <v>44</v>
      </c>
      <c r="M326" s="22" t="n">
        <v>35</v>
      </c>
      <c r="N326" s="15" t="n">
        <f aca="false">SUMPRODUCT(COUNTIF(G326:L326,번호조회!$B$4:$B$9))</f>
        <v>0</v>
      </c>
    </row>
    <row r="327" customFormat="false" ht="16.5" hidden="false" customHeight="true" outlineLevel="0" collapsed="false">
      <c r="E327" s="1" t="n">
        <f aca="false">$E$13-($F$13-F327)*7</f>
        <v>44016</v>
      </c>
      <c r="F327" s="12" t="n">
        <v>918</v>
      </c>
      <c r="G327" s="16" t="n">
        <v>7</v>
      </c>
      <c r="H327" s="17" t="n">
        <v>11</v>
      </c>
      <c r="I327" s="18" t="n">
        <v>12</v>
      </c>
      <c r="J327" s="19" t="n">
        <v>31</v>
      </c>
      <c r="K327" s="20" t="n">
        <v>33</v>
      </c>
      <c r="L327" s="21" t="n">
        <v>38</v>
      </c>
      <c r="M327" s="22" t="n">
        <v>5</v>
      </c>
      <c r="N327" s="15" t="n">
        <f aca="false">SUMPRODUCT(COUNTIF(G327:L327,번호조회!$B$4:$B$9))</f>
        <v>0</v>
      </c>
    </row>
    <row r="328" customFormat="false" ht="16.5" hidden="false" customHeight="true" outlineLevel="0" collapsed="false">
      <c r="E328" s="1" t="n">
        <f aca="false">$E$13-($F$13-F328)*7</f>
        <v>44009</v>
      </c>
      <c r="F328" s="12" t="n">
        <v>917</v>
      </c>
      <c r="G328" s="16" t="n">
        <v>1</v>
      </c>
      <c r="H328" s="17" t="n">
        <v>3</v>
      </c>
      <c r="I328" s="18" t="n">
        <v>23</v>
      </c>
      <c r="J328" s="19" t="n">
        <v>24</v>
      </c>
      <c r="K328" s="20" t="n">
        <v>27</v>
      </c>
      <c r="L328" s="21" t="n">
        <v>43</v>
      </c>
      <c r="M328" s="22" t="n">
        <v>34</v>
      </c>
      <c r="N328" s="15" t="n">
        <f aca="false">SUMPRODUCT(COUNTIF(G328:L328,번호조회!$B$4:$B$9))</f>
        <v>0</v>
      </c>
    </row>
    <row r="329" customFormat="false" ht="16.5" hidden="false" customHeight="true" outlineLevel="0" collapsed="false">
      <c r="E329" s="1" t="n">
        <f aca="false">$E$13-($F$13-F329)*7</f>
        <v>44002</v>
      </c>
      <c r="F329" s="12" t="n">
        <v>916</v>
      </c>
      <c r="G329" s="16" t="n">
        <v>6</v>
      </c>
      <c r="H329" s="17" t="n">
        <v>21</v>
      </c>
      <c r="I329" s="18" t="n">
        <v>22</v>
      </c>
      <c r="J329" s="19" t="n">
        <v>32</v>
      </c>
      <c r="K329" s="20" t="n">
        <v>35</v>
      </c>
      <c r="L329" s="21" t="n">
        <v>36</v>
      </c>
      <c r="M329" s="22" t="n">
        <v>17</v>
      </c>
      <c r="N329" s="15" t="n">
        <f aca="false">SUMPRODUCT(COUNTIF(G329:L329,번호조회!$B$4:$B$9))</f>
        <v>0</v>
      </c>
    </row>
    <row r="330" customFormat="false" ht="16.5" hidden="false" customHeight="true" outlineLevel="0" collapsed="false">
      <c r="E330" s="1" t="n">
        <f aca="false">$E$13-($F$13-F330)*7</f>
        <v>43995</v>
      </c>
      <c r="F330" s="12" t="n">
        <v>915</v>
      </c>
      <c r="G330" s="16" t="n">
        <v>2</v>
      </c>
      <c r="H330" s="17" t="n">
        <v>6</v>
      </c>
      <c r="I330" s="18" t="n">
        <v>11</v>
      </c>
      <c r="J330" s="19" t="n">
        <v>13</v>
      </c>
      <c r="K330" s="20" t="n">
        <v>22</v>
      </c>
      <c r="L330" s="21" t="n">
        <v>37</v>
      </c>
      <c r="M330" s="22" t="n">
        <v>14</v>
      </c>
      <c r="N330" s="15" t="n">
        <f aca="false">SUMPRODUCT(COUNTIF(G330:L330,번호조회!$B$4:$B$9))</f>
        <v>0</v>
      </c>
    </row>
    <row r="331" customFormat="false" ht="16.5" hidden="false" customHeight="true" outlineLevel="0" collapsed="false">
      <c r="E331" s="1" t="n">
        <f aca="false">$E$13-($F$13-F331)*7</f>
        <v>43988</v>
      </c>
      <c r="F331" s="12" t="n">
        <v>914</v>
      </c>
      <c r="G331" s="16" t="n">
        <v>16</v>
      </c>
      <c r="H331" s="17" t="n">
        <v>19</v>
      </c>
      <c r="I331" s="18" t="n">
        <v>24</v>
      </c>
      <c r="J331" s="19" t="n">
        <v>33</v>
      </c>
      <c r="K331" s="20" t="n">
        <v>42</v>
      </c>
      <c r="L331" s="21" t="n">
        <v>44</v>
      </c>
      <c r="M331" s="22" t="n">
        <v>27</v>
      </c>
      <c r="N331" s="15" t="n">
        <f aca="false">SUMPRODUCT(COUNTIF(G331:L331,번호조회!$B$4:$B$9))</f>
        <v>0</v>
      </c>
    </row>
    <row r="332" customFormat="false" ht="16.5" hidden="false" customHeight="true" outlineLevel="0" collapsed="false">
      <c r="E332" s="1" t="n">
        <f aca="false">$E$13-($F$13-F332)*7</f>
        <v>43981</v>
      </c>
      <c r="F332" s="12" t="n">
        <v>913</v>
      </c>
      <c r="G332" s="16" t="n">
        <v>6</v>
      </c>
      <c r="H332" s="17" t="n">
        <v>14</v>
      </c>
      <c r="I332" s="18" t="n">
        <v>16</v>
      </c>
      <c r="J332" s="19" t="n">
        <v>21</v>
      </c>
      <c r="K332" s="20" t="n">
        <v>27</v>
      </c>
      <c r="L332" s="21" t="n">
        <v>37</v>
      </c>
      <c r="M332" s="22" t="n">
        <v>40</v>
      </c>
      <c r="N332" s="15" t="n">
        <f aca="false">SUMPRODUCT(COUNTIF(G332:L332,번호조회!$B$4:$B$9))</f>
        <v>0</v>
      </c>
    </row>
    <row r="333" customFormat="false" ht="16.5" hidden="false" customHeight="true" outlineLevel="0" collapsed="false">
      <c r="E333" s="1" t="n">
        <f aca="false">$E$13-($F$13-F333)*7</f>
        <v>43974</v>
      </c>
      <c r="F333" s="12" t="n">
        <v>912</v>
      </c>
      <c r="G333" s="16" t="n">
        <v>5</v>
      </c>
      <c r="H333" s="17" t="n">
        <v>8</v>
      </c>
      <c r="I333" s="18" t="n">
        <v>18</v>
      </c>
      <c r="J333" s="19" t="n">
        <v>21</v>
      </c>
      <c r="K333" s="20" t="n">
        <v>22</v>
      </c>
      <c r="L333" s="21" t="n">
        <v>38</v>
      </c>
      <c r="M333" s="22" t="n">
        <v>10</v>
      </c>
      <c r="N333" s="15" t="n">
        <f aca="false">SUMPRODUCT(COUNTIF(G333:L333,번호조회!$B$4:$B$9))</f>
        <v>0</v>
      </c>
    </row>
    <row r="334" customFormat="false" ht="16.5" hidden="false" customHeight="true" outlineLevel="0" collapsed="false">
      <c r="E334" s="1" t="n">
        <f aca="false">$E$13-($F$13-F334)*7</f>
        <v>43967</v>
      </c>
      <c r="F334" s="12" t="n">
        <v>911</v>
      </c>
      <c r="G334" s="16" t="n">
        <v>4</v>
      </c>
      <c r="H334" s="17" t="n">
        <v>5</v>
      </c>
      <c r="I334" s="18" t="n">
        <v>12</v>
      </c>
      <c r="J334" s="19" t="n">
        <v>14</v>
      </c>
      <c r="K334" s="20" t="n">
        <v>32</v>
      </c>
      <c r="L334" s="21" t="n">
        <v>42</v>
      </c>
      <c r="M334" s="22" t="n">
        <v>35</v>
      </c>
      <c r="N334" s="15" t="n">
        <f aca="false">SUMPRODUCT(COUNTIF(G334:L334,번호조회!$B$4:$B$9))</f>
        <v>0</v>
      </c>
    </row>
    <row r="335" customFormat="false" ht="16.5" hidden="false" customHeight="true" outlineLevel="0" collapsed="false">
      <c r="E335" s="1" t="n">
        <f aca="false">$E$13-($F$13-F335)*7</f>
        <v>43960</v>
      </c>
      <c r="F335" s="12" t="n">
        <v>910</v>
      </c>
      <c r="G335" s="16" t="n">
        <v>1</v>
      </c>
      <c r="H335" s="17" t="n">
        <v>11</v>
      </c>
      <c r="I335" s="18" t="n">
        <v>17</v>
      </c>
      <c r="J335" s="19" t="n">
        <v>27</v>
      </c>
      <c r="K335" s="20" t="n">
        <v>35</v>
      </c>
      <c r="L335" s="21" t="n">
        <v>39</v>
      </c>
      <c r="M335" s="22" t="n">
        <v>31</v>
      </c>
      <c r="N335" s="15" t="n">
        <f aca="false">SUMPRODUCT(COUNTIF(G335:L335,번호조회!$B$4:$B$9))</f>
        <v>0</v>
      </c>
    </row>
    <row r="336" customFormat="false" ht="16.5" hidden="false" customHeight="true" outlineLevel="0" collapsed="false">
      <c r="E336" s="1" t="n">
        <f aca="false">$E$13-($F$13-F336)*7</f>
        <v>43953</v>
      </c>
      <c r="F336" s="12" t="n">
        <v>909</v>
      </c>
      <c r="G336" s="16" t="n">
        <v>7</v>
      </c>
      <c r="H336" s="17" t="n">
        <v>24</v>
      </c>
      <c r="I336" s="18" t="n">
        <v>29</v>
      </c>
      <c r="J336" s="19" t="n">
        <v>30</v>
      </c>
      <c r="K336" s="20" t="n">
        <v>34</v>
      </c>
      <c r="L336" s="21" t="n">
        <v>35</v>
      </c>
      <c r="M336" s="22" t="n">
        <v>33</v>
      </c>
      <c r="N336" s="15" t="n">
        <f aca="false">SUMPRODUCT(COUNTIF(G336:L336,번호조회!$B$4:$B$9))</f>
        <v>0</v>
      </c>
    </row>
    <row r="337" customFormat="false" ht="16.5" hidden="false" customHeight="true" outlineLevel="0" collapsed="false">
      <c r="E337" s="1" t="n">
        <f aca="false">$E$13-($F$13-F337)*7</f>
        <v>43946</v>
      </c>
      <c r="F337" s="12" t="n">
        <v>908</v>
      </c>
      <c r="G337" s="16" t="n">
        <v>3</v>
      </c>
      <c r="H337" s="17" t="n">
        <v>16</v>
      </c>
      <c r="I337" s="18" t="n">
        <v>21</v>
      </c>
      <c r="J337" s="19" t="n">
        <v>22</v>
      </c>
      <c r="K337" s="20" t="n">
        <v>23</v>
      </c>
      <c r="L337" s="21" t="n">
        <v>44</v>
      </c>
      <c r="M337" s="22" t="n">
        <v>30</v>
      </c>
      <c r="N337" s="15" t="n">
        <f aca="false">SUMPRODUCT(COUNTIF(G337:L337,번호조회!$B$4:$B$9))</f>
        <v>0</v>
      </c>
    </row>
    <row r="338" customFormat="false" ht="16.5" hidden="false" customHeight="true" outlineLevel="0" collapsed="false">
      <c r="E338" s="1" t="n">
        <f aca="false">$E$13-($F$13-F338)*7</f>
        <v>43939</v>
      </c>
      <c r="F338" s="12" t="n">
        <v>907</v>
      </c>
      <c r="G338" s="16" t="n">
        <v>21</v>
      </c>
      <c r="H338" s="17" t="n">
        <v>27</v>
      </c>
      <c r="I338" s="18" t="n">
        <v>29</v>
      </c>
      <c r="J338" s="19" t="n">
        <v>38</v>
      </c>
      <c r="K338" s="20" t="n">
        <v>40</v>
      </c>
      <c r="L338" s="21" t="n">
        <v>44</v>
      </c>
      <c r="M338" s="22" t="n">
        <v>37</v>
      </c>
      <c r="N338" s="15" t="n">
        <f aca="false">SUMPRODUCT(COUNTIF(G338:L338,번호조회!$B$4:$B$9))</f>
        <v>0</v>
      </c>
    </row>
    <row r="339" customFormat="false" ht="16.5" hidden="false" customHeight="true" outlineLevel="0" collapsed="false">
      <c r="E339" s="1" t="n">
        <f aca="false">$E$13-($F$13-F339)*7</f>
        <v>43932</v>
      </c>
      <c r="F339" s="12" t="n">
        <v>906</v>
      </c>
      <c r="G339" s="16" t="n">
        <v>2</v>
      </c>
      <c r="H339" s="17" t="n">
        <v>5</v>
      </c>
      <c r="I339" s="18" t="n">
        <v>14</v>
      </c>
      <c r="J339" s="19" t="n">
        <v>28</v>
      </c>
      <c r="K339" s="20" t="n">
        <v>31</v>
      </c>
      <c r="L339" s="21" t="n">
        <v>32</v>
      </c>
      <c r="M339" s="22" t="n">
        <v>20</v>
      </c>
      <c r="N339" s="15" t="n">
        <f aca="false">SUMPRODUCT(COUNTIF(G339:L339,번호조회!$B$4:$B$9))</f>
        <v>0</v>
      </c>
    </row>
    <row r="340" customFormat="false" ht="16.5" hidden="false" customHeight="true" outlineLevel="0" collapsed="false">
      <c r="E340" s="1" t="n">
        <f aca="false">$E$13-($F$13-F340)*7</f>
        <v>43925</v>
      </c>
      <c r="F340" s="12" t="n">
        <v>905</v>
      </c>
      <c r="G340" s="16" t="n">
        <v>3</v>
      </c>
      <c r="H340" s="17" t="n">
        <v>4</v>
      </c>
      <c r="I340" s="18" t="n">
        <v>16</v>
      </c>
      <c r="J340" s="19" t="n">
        <v>27</v>
      </c>
      <c r="K340" s="20" t="n">
        <v>38</v>
      </c>
      <c r="L340" s="21" t="n">
        <v>40</v>
      </c>
      <c r="M340" s="22" t="n">
        <v>20</v>
      </c>
      <c r="N340" s="15" t="n">
        <f aca="false">SUMPRODUCT(COUNTIF(G340:L340,번호조회!$B$4:$B$9))</f>
        <v>0</v>
      </c>
    </row>
    <row r="341" customFormat="false" ht="16.5" hidden="false" customHeight="true" outlineLevel="0" collapsed="false">
      <c r="E341" s="1" t="n">
        <f aca="false">$E$13-($F$13-F341)*7</f>
        <v>43918</v>
      </c>
      <c r="F341" s="12" t="n">
        <v>904</v>
      </c>
      <c r="G341" s="16" t="n">
        <v>2</v>
      </c>
      <c r="H341" s="17" t="n">
        <v>6</v>
      </c>
      <c r="I341" s="18" t="n">
        <v>8</v>
      </c>
      <c r="J341" s="19" t="n">
        <v>26</v>
      </c>
      <c r="K341" s="20" t="n">
        <v>43</v>
      </c>
      <c r="L341" s="21" t="n">
        <v>45</v>
      </c>
      <c r="M341" s="22" t="n">
        <v>11</v>
      </c>
      <c r="N341" s="15" t="n">
        <f aca="false">SUMPRODUCT(COUNTIF(G341:L341,번호조회!$B$4:$B$9))</f>
        <v>0</v>
      </c>
    </row>
    <row r="342" customFormat="false" ht="16.5" hidden="false" customHeight="true" outlineLevel="0" collapsed="false">
      <c r="E342" s="1" t="n">
        <f aca="false">$E$13-($F$13-F342)*7</f>
        <v>43911</v>
      </c>
      <c r="F342" s="12" t="n">
        <v>903</v>
      </c>
      <c r="G342" s="16" t="n">
        <v>2</v>
      </c>
      <c r="H342" s="17" t="n">
        <v>15</v>
      </c>
      <c r="I342" s="18" t="n">
        <v>16</v>
      </c>
      <c r="J342" s="19" t="n">
        <v>21</v>
      </c>
      <c r="K342" s="20" t="n">
        <v>22</v>
      </c>
      <c r="L342" s="21" t="n">
        <v>28</v>
      </c>
      <c r="M342" s="22" t="n">
        <v>45</v>
      </c>
      <c r="N342" s="15" t="n">
        <f aca="false">SUMPRODUCT(COUNTIF(G342:L342,번호조회!$B$4:$B$9))</f>
        <v>0</v>
      </c>
    </row>
    <row r="343" customFormat="false" ht="16.5" hidden="false" customHeight="true" outlineLevel="0" collapsed="false">
      <c r="E343" s="1" t="n">
        <f aca="false">$E$13-($F$13-F343)*7</f>
        <v>43904</v>
      </c>
      <c r="F343" s="12" t="n">
        <v>902</v>
      </c>
      <c r="G343" s="16" t="n">
        <v>7</v>
      </c>
      <c r="H343" s="17" t="n">
        <v>19</v>
      </c>
      <c r="I343" s="18" t="n">
        <v>23</v>
      </c>
      <c r="J343" s="19" t="n">
        <v>24</v>
      </c>
      <c r="K343" s="20" t="n">
        <v>36</v>
      </c>
      <c r="L343" s="21" t="n">
        <v>39</v>
      </c>
      <c r="M343" s="22" t="n">
        <v>30</v>
      </c>
      <c r="N343" s="15" t="n">
        <f aca="false">SUMPRODUCT(COUNTIF(G343:L343,번호조회!$B$4:$B$9))</f>
        <v>0</v>
      </c>
    </row>
    <row r="344" customFormat="false" ht="16.5" hidden="false" customHeight="true" outlineLevel="0" collapsed="false">
      <c r="E344" s="1" t="n">
        <f aca="false">$E$13-($F$13-F344)*7</f>
        <v>43897</v>
      </c>
      <c r="F344" s="12" t="n">
        <v>901</v>
      </c>
      <c r="G344" s="16" t="n">
        <v>5</v>
      </c>
      <c r="H344" s="17" t="n">
        <v>18</v>
      </c>
      <c r="I344" s="18" t="n">
        <v>20</v>
      </c>
      <c r="J344" s="19" t="n">
        <v>23</v>
      </c>
      <c r="K344" s="20" t="n">
        <v>30</v>
      </c>
      <c r="L344" s="21" t="n">
        <v>34</v>
      </c>
      <c r="M344" s="22" t="n">
        <v>21</v>
      </c>
      <c r="N344" s="15" t="n">
        <f aca="false">SUMPRODUCT(COUNTIF(G344:L344,번호조회!$B$4:$B$9))</f>
        <v>0</v>
      </c>
    </row>
    <row r="345" customFormat="false" ht="16.5" hidden="false" customHeight="true" outlineLevel="0" collapsed="false">
      <c r="E345" s="1" t="n">
        <f aca="false">$E$13-($F$13-F345)*7</f>
        <v>43890</v>
      </c>
      <c r="F345" s="12" t="n">
        <v>900</v>
      </c>
      <c r="G345" s="16" t="n">
        <v>7</v>
      </c>
      <c r="H345" s="17" t="n">
        <v>13</v>
      </c>
      <c r="I345" s="18" t="n">
        <v>16</v>
      </c>
      <c r="J345" s="19" t="n">
        <v>18</v>
      </c>
      <c r="K345" s="20" t="n">
        <v>35</v>
      </c>
      <c r="L345" s="21" t="n">
        <v>38</v>
      </c>
      <c r="M345" s="22" t="n">
        <v>14</v>
      </c>
      <c r="N345" s="15" t="n">
        <f aca="false">SUMPRODUCT(COUNTIF(G345:L345,번호조회!$B$4:$B$9))</f>
        <v>0</v>
      </c>
    </row>
    <row r="346" customFormat="false" ht="16.5" hidden="false" customHeight="true" outlineLevel="0" collapsed="false">
      <c r="E346" s="1" t="n">
        <f aca="false">$E$13-($F$13-F346)*7</f>
        <v>43883</v>
      </c>
      <c r="F346" s="12" t="n">
        <v>899</v>
      </c>
      <c r="G346" s="16" t="n">
        <v>8</v>
      </c>
      <c r="H346" s="17" t="n">
        <v>19</v>
      </c>
      <c r="I346" s="18" t="n">
        <v>20</v>
      </c>
      <c r="J346" s="19" t="n">
        <v>21</v>
      </c>
      <c r="K346" s="20" t="n">
        <v>33</v>
      </c>
      <c r="L346" s="21" t="n">
        <v>39</v>
      </c>
      <c r="M346" s="22" t="n">
        <v>37</v>
      </c>
      <c r="N346" s="15" t="n">
        <f aca="false">SUMPRODUCT(COUNTIF(G346:L346,번호조회!$B$4:$B$9))</f>
        <v>0</v>
      </c>
    </row>
    <row r="347" customFormat="false" ht="16.5" hidden="false" customHeight="true" outlineLevel="0" collapsed="false">
      <c r="E347" s="1" t="n">
        <f aca="false">$E$13-($F$13-F347)*7</f>
        <v>43876</v>
      </c>
      <c r="F347" s="12" t="n">
        <v>898</v>
      </c>
      <c r="G347" s="16" t="n">
        <v>18</v>
      </c>
      <c r="H347" s="17" t="n">
        <v>21</v>
      </c>
      <c r="I347" s="18" t="n">
        <v>28</v>
      </c>
      <c r="J347" s="19" t="n">
        <v>35</v>
      </c>
      <c r="K347" s="20" t="n">
        <v>37</v>
      </c>
      <c r="L347" s="21" t="n">
        <v>42</v>
      </c>
      <c r="M347" s="22" t="n">
        <v>17</v>
      </c>
      <c r="N347" s="15" t="n">
        <f aca="false">SUMPRODUCT(COUNTIF(G347:L347,번호조회!$B$4:$B$9))</f>
        <v>0</v>
      </c>
    </row>
    <row r="348" customFormat="false" ht="16.5" hidden="false" customHeight="true" outlineLevel="0" collapsed="false">
      <c r="E348" s="1" t="n">
        <f aca="false">$E$13-($F$13-F348)*7</f>
        <v>43869</v>
      </c>
      <c r="F348" s="12" t="n">
        <v>897</v>
      </c>
      <c r="G348" s="16" t="n">
        <v>6</v>
      </c>
      <c r="H348" s="17" t="n">
        <v>7</v>
      </c>
      <c r="I348" s="18" t="n">
        <v>12</v>
      </c>
      <c r="J348" s="19" t="n">
        <v>22</v>
      </c>
      <c r="K348" s="20" t="n">
        <v>26</v>
      </c>
      <c r="L348" s="21" t="n">
        <v>36</v>
      </c>
      <c r="M348" s="22" t="n">
        <v>29</v>
      </c>
      <c r="N348" s="15" t="n">
        <f aca="false">SUMPRODUCT(COUNTIF(G348:L348,번호조회!$B$4:$B$9))</f>
        <v>0</v>
      </c>
    </row>
    <row r="349" customFormat="false" ht="16.5" hidden="false" customHeight="true" outlineLevel="0" collapsed="false">
      <c r="E349" s="1" t="n">
        <f aca="false">$E$13-($F$13-F349)*7</f>
        <v>43862</v>
      </c>
      <c r="F349" s="12" t="n">
        <v>896</v>
      </c>
      <c r="G349" s="16" t="n">
        <v>5</v>
      </c>
      <c r="H349" s="17" t="n">
        <v>12</v>
      </c>
      <c r="I349" s="18" t="n">
        <v>25</v>
      </c>
      <c r="J349" s="19" t="n">
        <v>26</v>
      </c>
      <c r="K349" s="20" t="n">
        <v>38</v>
      </c>
      <c r="L349" s="21" t="n">
        <v>45</v>
      </c>
      <c r="M349" s="22" t="n">
        <v>23</v>
      </c>
      <c r="N349" s="15" t="n">
        <f aca="false">SUMPRODUCT(COUNTIF(G349:L349,번호조회!$B$4:$B$9))</f>
        <v>0</v>
      </c>
    </row>
    <row r="350" customFormat="false" ht="16.5" hidden="false" customHeight="true" outlineLevel="0" collapsed="false">
      <c r="E350" s="1" t="n">
        <f aca="false">$E$13-($F$13-F350)*7</f>
        <v>43855</v>
      </c>
      <c r="F350" s="12" t="n">
        <v>895</v>
      </c>
      <c r="G350" s="16" t="n">
        <v>16</v>
      </c>
      <c r="H350" s="17" t="n">
        <v>26</v>
      </c>
      <c r="I350" s="18" t="n">
        <v>31</v>
      </c>
      <c r="J350" s="19" t="n">
        <v>38</v>
      </c>
      <c r="K350" s="20" t="n">
        <v>39</v>
      </c>
      <c r="L350" s="21" t="n">
        <v>41</v>
      </c>
      <c r="M350" s="22" t="n">
        <v>23</v>
      </c>
      <c r="N350" s="15" t="n">
        <f aca="false">SUMPRODUCT(COUNTIF(G350:L350,번호조회!$B$4:$B$9))</f>
        <v>0</v>
      </c>
    </row>
    <row r="351" customFormat="false" ht="16.5" hidden="false" customHeight="true" outlineLevel="0" collapsed="false">
      <c r="E351" s="1" t="n">
        <f aca="false">$E$13-($F$13-F351)*7</f>
        <v>43848</v>
      </c>
      <c r="F351" s="12" t="n">
        <v>894</v>
      </c>
      <c r="G351" s="16" t="n">
        <v>19</v>
      </c>
      <c r="H351" s="17" t="n">
        <v>32</v>
      </c>
      <c r="I351" s="18" t="n">
        <v>37</v>
      </c>
      <c r="J351" s="19" t="n">
        <v>40</v>
      </c>
      <c r="K351" s="20" t="n">
        <v>41</v>
      </c>
      <c r="L351" s="21" t="n">
        <v>43</v>
      </c>
      <c r="M351" s="22" t="n">
        <v>45</v>
      </c>
      <c r="N351" s="15" t="n">
        <f aca="false">SUMPRODUCT(COUNTIF(G351:L351,번호조회!$B$4:$B$9))</f>
        <v>0</v>
      </c>
    </row>
    <row r="352" customFormat="false" ht="16.5" hidden="false" customHeight="true" outlineLevel="0" collapsed="false">
      <c r="E352" s="1" t="n">
        <f aca="false">$E$13-($F$13-F352)*7</f>
        <v>43841</v>
      </c>
      <c r="F352" s="12" t="n">
        <v>893</v>
      </c>
      <c r="G352" s="16" t="n">
        <v>1</v>
      </c>
      <c r="H352" s="17" t="n">
        <v>15</v>
      </c>
      <c r="I352" s="18" t="n">
        <v>17</v>
      </c>
      <c r="J352" s="19" t="n">
        <v>23</v>
      </c>
      <c r="K352" s="20" t="n">
        <v>25</v>
      </c>
      <c r="L352" s="21" t="n">
        <v>41</v>
      </c>
      <c r="M352" s="22" t="n">
        <v>10</v>
      </c>
      <c r="N352" s="15" t="n">
        <f aca="false">SUMPRODUCT(COUNTIF(G352:L352,번호조회!$B$4:$B$9))</f>
        <v>0</v>
      </c>
    </row>
    <row r="353" customFormat="false" ht="16.5" hidden="false" customHeight="true" outlineLevel="0" collapsed="false">
      <c r="E353" s="1" t="n">
        <f aca="false">$E$13-($F$13-F353)*7</f>
        <v>43834</v>
      </c>
      <c r="F353" s="12" t="n">
        <v>892</v>
      </c>
      <c r="G353" s="16" t="n">
        <v>4</v>
      </c>
      <c r="H353" s="17" t="n">
        <v>9</v>
      </c>
      <c r="I353" s="18" t="n">
        <v>17</v>
      </c>
      <c r="J353" s="19" t="n">
        <v>18</v>
      </c>
      <c r="K353" s="20" t="n">
        <v>26</v>
      </c>
      <c r="L353" s="21" t="n">
        <v>42</v>
      </c>
      <c r="M353" s="22" t="n">
        <v>36</v>
      </c>
      <c r="N353" s="15" t="n">
        <f aca="false">SUMPRODUCT(COUNTIF(G353:L353,번호조회!$B$4:$B$9))</f>
        <v>0</v>
      </c>
    </row>
    <row r="354" customFormat="false" ht="16.5" hidden="false" customHeight="true" outlineLevel="0" collapsed="false">
      <c r="E354" s="1" t="n">
        <f aca="false">$E$13-($F$13-F354)*7</f>
        <v>43827</v>
      </c>
      <c r="F354" s="12" t="n">
        <v>891</v>
      </c>
      <c r="G354" s="16" t="n">
        <v>9</v>
      </c>
      <c r="H354" s="17" t="n">
        <v>13</v>
      </c>
      <c r="I354" s="18" t="n">
        <v>28</v>
      </c>
      <c r="J354" s="19" t="n">
        <v>31</v>
      </c>
      <c r="K354" s="20" t="n">
        <v>39</v>
      </c>
      <c r="L354" s="21" t="n">
        <v>41</v>
      </c>
      <c r="M354" s="22" t="n">
        <v>19</v>
      </c>
      <c r="N354" s="15" t="n">
        <f aca="false">SUMPRODUCT(COUNTIF(G354:L354,번호조회!$B$4:$B$9))</f>
        <v>0</v>
      </c>
    </row>
    <row r="355" customFormat="false" ht="16.5" hidden="false" customHeight="true" outlineLevel="0" collapsed="false">
      <c r="E355" s="1" t="n">
        <f aca="false">$E$13-($F$13-F355)*7</f>
        <v>43820</v>
      </c>
      <c r="F355" s="12" t="n">
        <v>890</v>
      </c>
      <c r="G355" s="16" t="n">
        <v>1</v>
      </c>
      <c r="H355" s="17" t="n">
        <v>4</v>
      </c>
      <c r="I355" s="18" t="n">
        <v>14</v>
      </c>
      <c r="J355" s="19" t="n">
        <v>18</v>
      </c>
      <c r="K355" s="20" t="n">
        <v>29</v>
      </c>
      <c r="L355" s="21" t="n">
        <v>37</v>
      </c>
      <c r="M355" s="22" t="n">
        <v>6</v>
      </c>
      <c r="N355" s="15" t="n">
        <f aca="false">SUMPRODUCT(COUNTIF(G355:L355,번호조회!$B$4:$B$9))</f>
        <v>0</v>
      </c>
    </row>
    <row r="356" customFormat="false" ht="16.5" hidden="false" customHeight="true" outlineLevel="0" collapsed="false">
      <c r="E356" s="1" t="n">
        <f aca="false">$E$13-($F$13-F356)*7</f>
        <v>43813</v>
      </c>
      <c r="F356" s="12" t="n">
        <v>889</v>
      </c>
      <c r="G356" s="16" t="n">
        <v>3</v>
      </c>
      <c r="H356" s="17" t="n">
        <v>13</v>
      </c>
      <c r="I356" s="18" t="n">
        <v>29</v>
      </c>
      <c r="J356" s="19" t="n">
        <v>38</v>
      </c>
      <c r="K356" s="20" t="n">
        <v>39</v>
      </c>
      <c r="L356" s="21" t="n">
        <v>42</v>
      </c>
      <c r="M356" s="22" t="n">
        <v>26</v>
      </c>
      <c r="N356" s="15" t="n">
        <f aca="false">SUMPRODUCT(COUNTIF(G356:L356,번호조회!$B$4:$B$9))</f>
        <v>0</v>
      </c>
    </row>
    <row r="357" customFormat="false" ht="16.5" hidden="false" customHeight="true" outlineLevel="0" collapsed="false">
      <c r="E357" s="1" t="n">
        <f aca="false">$E$13-($F$13-F357)*7</f>
        <v>43806</v>
      </c>
      <c r="F357" s="12" t="n">
        <v>888</v>
      </c>
      <c r="G357" s="16" t="n">
        <v>3</v>
      </c>
      <c r="H357" s="17" t="n">
        <v>7</v>
      </c>
      <c r="I357" s="18" t="n">
        <v>12</v>
      </c>
      <c r="J357" s="19" t="n">
        <v>31</v>
      </c>
      <c r="K357" s="20" t="n">
        <v>34</v>
      </c>
      <c r="L357" s="21" t="n">
        <v>38</v>
      </c>
      <c r="M357" s="22" t="n">
        <v>32</v>
      </c>
      <c r="N357" s="15" t="n">
        <f aca="false">SUMPRODUCT(COUNTIF(G357:L357,번호조회!$B$4:$B$9))</f>
        <v>0</v>
      </c>
    </row>
    <row r="358" customFormat="false" ht="16.5" hidden="false" customHeight="true" outlineLevel="0" collapsed="false">
      <c r="E358" s="1" t="n">
        <f aca="false">$E$13-($F$13-F358)*7</f>
        <v>43799</v>
      </c>
      <c r="F358" s="12" t="n">
        <v>887</v>
      </c>
      <c r="G358" s="16" t="n">
        <v>8</v>
      </c>
      <c r="H358" s="17" t="n">
        <v>14</v>
      </c>
      <c r="I358" s="18" t="n">
        <v>17</v>
      </c>
      <c r="J358" s="19" t="n">
        <v>27</v>
      </c>
      <c r="K358" s="20" t="n">
        <v>36</v>
      </c>
      <c r="L358" s="21" t="n">
        <v>45</v>
      </c>
      <c r="M358" s="22" t="n">
        <v>10</v>
      </c>
      <c r="N358" s="15" t="n">
        <f aca="false">SUMPRODUCT(COUNTIF(G358:L358,번호조회!$B$4:$B$9))</f>
        <v>0</v>
      </c>
    </row>
    <row r="359" customFormat="false" ht="16.5" hidden="false" customHeight="true" outlineLevel="0" collapsed="false">
      <c r="E359" s="1" t="n">
        <f aca="false">$E$13-($F$13-F359)*7</f>
        <v>43792</v>
      </c>
      <c r="F359" s="12" t="n">
        <v>886</v>
      </c>
      <c r="G359" s="16" t="n">
        <v>19</v>
      </c>
      <c r="H359" s="17" t="n">
        <v>23</v>
      </c>
      <c r="I359" s="18" t="n">
        <v>28</v>
      </c>
      <c r="J359" s="19" t="n">
        <v>37</v>
      </c>
      <c r="K359" s="20" t="n">
        <v>42</v>
      </c>
      <c r="L359" s="21" t="n">
        <v>45</v>
      </c>
      <c r="M359" s="22" t="n">
        <v>2</v>
      </c>
      <c r="N359" s="15" t="n">
        <f aca="false">SUMPRODUCT(COUNTIF(G359:L359,번호조회!$B$4:$B$9))</f>
        <v>0</v>
      </c>
    </row>
    <row r="360" customFormat="false" ht="16.5" hidden="false" customHeight="true" outlineLevel="0" collapsed="false">
      <c r="E360" s="1" t="n">
        <f aca="false">$E$13-($F$13-F360)*7</f>
        <v>43785</v>
      </c>
      <c r="F360" s="12" t="n">
        <v>885</v>
      </c>
      <c r="G360" s="16" t="n">
        <v>1</v>
      </c>
      <c r="H360" s="17" t="n">
        <v>3</v>
      </c>
      <c r="I360" s="18" t="n">
        <v>24</v>
      </c>
      <c r="J360" s="19" t="n">
        <v>27</v>
      </c>
      <c r="K360" s="20" t="n">
        <v>39</v>
      </c>
      <c r="L360" s="21" t="n">
        <v>45</v>
      </c>
      <c r="M360" s="22" t="n">
        <v>31</v>
      </c>
      <c r="N360" s="15" t="n">
        <f aca="false">SUMPRODUCT(COUNTIF(G360:L360,번호조회!$B$4:$B$9))</f>
        <v>0</v>
      </c>
    </row>
    <row r="361" customFormat="false" ht="16.5" hidden="false" customHeight="true" outlineLevel="0" collapsed="false">
      <c r="E361" s="1" t="n">
        <f aca="false">$E$13-($F$13-F361)*7</f>
        <v>43778</v>
      </c>
      <c r="F361" s="12" t="n">
        <v>884</v>
      </c>
      <c r="G361" s="16" t="n">
        <v>4</v>
      </c>
      <c r="H361" s="17" t="n">
        <v>14</v>
      </c>
      <c r="I361" s="18" t="n">
        <v>23</v>
      </c>
      <c r="J361" s="19" t="n">
        <v>28</v>
      </c>
      <c r="K361" s="20" t="n">
        <v>37</v>
      </c>
      <c r="L361" s="21" t="n">
        <v>45</v>
      </c>
      <c r="M361" s="22" t="n">
        <v>17</v>
      </c>
      <c r="N361" s="15" t="n">
        <f aca="false">SUMPRODUCT(COUNTIF(G361:L361,번호조회!$B$4:$B$9))</f>
        <v>0</v>
      </c>
    </row>
    <row r="362" customFormat="false" ht="16.5" hidden="false" customHeight="true" outlineLevel="0" collapsed="false">
      <c r="E362" s="1" t="n">
        <f aca="false">$E$13-($F$13-F362)*7</f>
        <v>43771</v>
      </c>
      <c r="F362" s="12" t="n">
        <v>883</v>
      </c>
      <c r="G362" s="16" t="n">
        <v>9</v>
      </c>
      <c r="H362" s="17" t="n">
        <v>18</v>
      </c>
      <c r="I362" s="18" t="n">
        <v>32</v>
      </c>
      <c r="J362" s="19" t="n">
        <v>33</v>
      </c>
      <c r="K362" s="20" t="n">
        <v>37</v>
      </c>
      <c r="L362" s="21" t="n">
        <v>44</v>
      </c>
      <c r="M362" s="22" t="n">
        <v>22</v>
      </c>
      <c r="N362" s="15" t="n">
        <f aca="false">SUMPRODUCT(COUNTIF(G362:L362,번호조회!$B$4:$B$9))</f>
        <v>0</v>
      </c>
    </row>
    <row r="363" customFormat="false" ht="16.5" hidden="false" customHeight="true" outlineLevel="0" collapsed="false">
      <c r="E363" s="1" t="n">
        <f aca="false">$E$13-($F$13-F363)*7</f>
        <v>43764</v>
      </c>
      <c r="F363" s="12" t="n">
        <v>882</v>
      </c>
      <c r="G363" s="16" t="n">
        <v>18</v>
      </c>
      <c r="H363" s="17" t="n">
        <v>34</v>
      </c>
      <c r="I363" s="18" t="n">
        <v>39</v>
      </c>
      <c r="J363" s="19" t="n">
        <v>43</v>
      </c>
      <c r="K363" s="20" t="n">
        <v>44</v>
      </c>
      <c r="L363" s="21" t="n">
        <v>45</v>
      </c>
      <c r="M363" s="22" t="n">
        <v>23</v>
      </c>
      <c r="N363" s="15" t="n">
        <f aca="false">SUMPRODUCT(COUNTIF(G363:L363,번호조회!$B$4:$B$9))</f>
        <v>0</v>
      </c>
    </row>
    <row r="364" customFormat="false" ht="16.5" hidden="false" customHeight="true" outlineLevel="0" collapsed="false">
      <c r="E364" s="1" t="n">
        <f aca="false">$E$13-($F$13-F364)*7</f>
        <v>43757</v>
      </c>
      <c r="F364" s="12" t="n">
        <v>881</v>
      </c>
      <c r="G364" s="16" t="n">
        <v>4</v>
      </c>
      <c r="H364" s="17" t="n">
        <v>18</v>
      </c>
      <c r="I364" s="18" t="n">
        <v>20</v>
      </c>
      <c r="J364" s="19" t="n">
        <v>26</v>
      </c>
      <c r="K364" s="20" t="n">
        <v>27</v>
      </c>
      <c r="L364" s="21" t="n">
        <v>32</v>
      </c>
      <c r="M364" s="22" t="n">
        <v>9</v>
      </c>
      <c r="N364" s="15" t="n">
        <f aca="false">SUMPRODUCT(COUNTIF(G364:L364,번호조회!$B$4:$B$9))</f>
        <v>0</v>
      </c>
    </row>
    <row r="365" customFormat="false" ht="16.5" hidden="false" customHeight="true" outlineLevel="0" collapsed="false">
      <c r="E365" s="1" t="n">
        <f aca="false">$E$13-($F$13-F365)*7</f>
        <v>43750</v>
      </c>
      <c r="F365" s="12" t="n">
        <v>880</v>
      </c>
      <c r="G365" s="16" t="n">
        <v>7</v>
      </c>
      <c r="H365" s="17" t="n">
        <v>17</v>
      </c>
      <c r="I365" s="18" t="n">
        <v>19</v>
      </c>
      <c r="J365" s="19" t="n">
        <v>23</v>
      </c>
      <c r="K365" s="20" t="n">
        <v>24</v>
      </c>
      <c r="L365" s="21" t="n">
        <v>45</v>
      </c>
      <c r="M365" s="22" t="n">
        <v>38</v>
      </c>
      <c r="N365" s="15" t="n">
        <f aca="false">SUMPRODUCT(COUNTIF(G365:L365,번호조회!$B$4:$B$9))</f>
        <v>0</v>
      </c>
    </row>
    <row r="366" customFormat="false" ht="16.5" hidden="false" customHeight="true" outlineLevel="0" collapsed="false">
      <c r="E366" s="1" t="n">
        <f aca="false">$E$13-($F$13-F366)*7</f>
        <v>43743</v>
      </c>
      <c r="F366" s="12" t="n">
        <v>879</v>
      </c>
      <c r="G366" s="16" t="n">
        <v>1</v>
      </c>
      <c r="H366" s="17" t="n">
        <v>4</v>
      </c>
      <c r="I366" s="18" t="n">
        <v>10</v>
      </c>
      <c r="J366" s="19" t="n">
        <v>14</v>
      </c>
      <c r="K366" s="20" t="n">
        <v>15</v>
      </c>
      <c r="L366" s="21" t="n">
        <v>35</v>
      </c>
      <c r="M366" s="22" t="n">
        <v>20</v>
      </c>
      <c r="N366" s="15" t="n">
        <f aca="false">SUMPRODUCT(COUNTIF(G366:L366,번호조회!$B$4:$B$9))</f>
        <v>0</v>
      </c>
    </row>
    <row r="367" customFormat="false" ht="16.5" hidden="false" customHeight="true" outlineLevel="0" collapsed="false">
      <c r="E367" s="1" t="n">
        <f aca="false">$E$13-($F$13-F367)*7</f>
        <v>43736</v>
      </c>
      <c r="F367" s="12" t="n">
        <v>878</v>
      </c>
      <c r="G367" s="16" t="n">
        <v>2</v>
      </c>
      <c r="H367" s="17" t="n">
        <v>6</v>
      </c>
      <c r="I367" s="18" t="n">
        <v>11</v>
      </c>
      <c r="J367" s="19" t="n">
        <v>16</v>
      </c>
      <c r="K367" s="20" t="n">
        <v>25</v>
      </c>
      <c r="L367" s="21" t="n">
        <v>31</v>
      </c>
      <c r="M367" s="22" t="n">
        <v>3</v>
      </c>
      <c r="N367" s="15" t="n">
        <f aca="false">SUMPRODUCT(COUNTIF(G367:L367,번호조회!$B$4:$B$9))</f>
        <v>0</v>
      </c>
    </row>
    <row r="368" customFormat="false" ht="16.5" hidden="false" customHeight="true" outlineLevel="0" collapsed="false">
      <c r="E368" s="1" t="n">
        <f aca="false">$E$13-($F$13-F368)*7</f>
        <v>43729</v>
      </c>
      <c r="F368" s="12" t="n">
        <v>877</v>
      </c>
      <c r="G368" s="16" t="n">
        <v>5</v>
      </c>
      <c r="H368" s="17" t="n">
        <v>17</v>
      </c>
      <c r="I368" s="18" t="n">
        <v>18</v>
      </c>
      <c r="J368" s="19" t="n">
        <v>22</v>
      </c>
      <c r="K368" s="20" t="n">
        <v>23</v>
      </c>
      <c r="L368" s="21" t="n">
        <v>43</v>
      </c>
      <c r="M368" s="22" t="n">
        <v>12</v>
      </c>
      <c r="N368" s="15" t="n">
        <f aca="false">SUMPRODUCT(COUNTIF(G368:L368,번호조회!$B$4:$B$9))</f>
        <v>0</v>
      </c>
    </row>
    <row r="369" customFormat="false" ht="16.5" hidden="false" customHeight="true" outlineLevel="0" collapsed="false">
      <c r="E369" s="1" t="n">
        <f aca="false">$E$13-($F$13-F369)*7</f>
        <v>43722</v>
      </c>
      <c r="F369" s="12" t="n">
        <v>876</v>
      </c>
      <c r="G369" s="16" t="n">
        <v>5</v>
      </c>
      <c r="H369" s="17" t="n">
        <v>16</v>
      </c>
      <c r="I369" s="18" t="n">
        <v>21</v>
      </c>
      <c r="J369" s="19" t="n">
        <v>26</v>
      </c>
      <c r="K369" s="20" t="n">
        <v>34</v>
      </c>
      <c r="L369" s="21" t="n">
        <v>42</v>
      </c>
      <c r="M369" s="22" t="n">
        <v>24</v>
      </c>
      <c r="N369" s="15" t="n">
        <f aca="false">SUMPRODUCT(COUNTIF(G369:L369,번호조회!$B$4:$B$9))</f>
        <v>0</v>
      </c>
    </row>
    <row r="370" customFormat="false" ht="16.5" hidden="false" customHeight="true" outlineLevel="0" collapsed="false">
      <c r="E370" s="1" t="n">
        <f aca="false">$E$13-($F$13-F370)*7</f>
        <v>43715</v>
      </c>
      <c r="F370" s="12" t="n">
        <v>875</v>
      </c>
      <c r="G370" s="16" t="n">
        <v>19</v>
      </c>
      <c r="H370" s="17" t="n">
        <v>22</v>
      </c>
      <c r="I370" s="18" t="n">
        <v>30</v>
      </c>
      <c r="J370" s="19" t="n">
        <v>34</v>
      </c>
      <c r="K370" s="20" t="n">
        <v>39</v>
      </c>
      <c r="L370" s="21" t="n">
        <v>44</v>
      </c>
      <c r="M370" s="22" t="n">
        <v>36</v>
      </c>
      <c r="N370" s="15" t="n">
        <f aca="false">SUMPRODUCT(COUNTIF(G370:L370,번호조회!$B$4:$B$9))</f>
        <v>0</v>
      </c>
    </row>
    <row r="371" customFormat="false" ht="16.5" hidden="false" customHeight="true" outlineLevel="0" collapsed="false">
      <c r="E371" s="1" t="n">
        <f aca="false">$E$13-($F$13-F371)*7</f>
        <v>43708</v>
      </c>
      <c r="F371" s="12" t="n">
        <v>874</v>
      </c>
      <c r="G371" s="16" t="n">
        <v>1</v>
      </c>
      <c r="H371" s="17" t="n">
        <v>15</v>
      </c>
      <c r="I371" s="18" t="n">
        <v>19</v>
      </c>
      <c r="J371" s="19" t="n">
        <v>23</v>
      </c>
      <c r="K371" s="20" t="n">
        <v>28</v>
      </c>
      <c r="L371" s="21" t="n">
        <v>42</v>
      </c>
      <c r="M371" s="22" t="n">
        <v>32</v>
      </c>
      <c r="N371" s="15" t="n">
        <f aca="false">SUMPRODUCT(COUNTIF(G371:L371,번호조회!$B$4:$B$9))</f>
        <v>0</v>
      </c>
    </row>
    <row r="372" customFormat="false" ht="16.5" hidden="false" customHeight="true" outlineLevel="0" collapsed="false">
      <c r="E372" s="1" t="n">
        <f aca="false">$E$13-($F$13-F372)*7</f>
        <v>43701</v>
      </c>
      <c r="F372" s="12" t="n">
        <v>873</v>
      </c>
      <c r="G372" s="16" t="n">
        <v>3</v>
      </c>
      <c r="H372" s="17" t="n">
        <v>5</v>
      </c>
      <c r="I372" s="18" t="n">
        <v>12</v>
      </c>
      <c r="J372" s="19" t="n">
        <v>13</v>
      </c>
      <c r="K372" s="20" t="n">
        <v>33</v>
      </c>
      <c r="L372" s="21" t="n">
        <v>39</v>
      </c>
      <c r="M372" s="22" t="n">
        <v>38</v>
      </c>
      <c r="N372" s="15" t="n">
        <f aca="false">SUMPRODUCT(COUNTIF(G372:L372,번호조회!$B$4:$B$9))</f>
        <v>0</v>
      </c>
    </row>
    <row r="373" customFormat="false" ht="16.5" hidden="false" customHeight="true" outlineLevel="0" collapsed="false">
      <c r="E373" s="1" t="n">
        <f aca="false">$E$13-($F$13-F373)*7</f>
        <v>43694</v>
      </c>
      <c r="F373" s="12" t="n">
        <v>872</v>
      </c>
      <c r="G373" s="16" t="n">
        <v>2</v>
      </c>
      <c r="H373" s="17" t="n">
        <v>4</v>
      </c>
      <c r="I373" s="18" t="n">
        <v>30</v>
      </c>
      <c r="J373" s="19" t="n">
        <v>32</v>
      </c>
      <c r="K373" s="20" t="n">
        <v>33</v>
      </c>
      <c r="L373" s="21" t="n">
        <v>43</v>
      </c>
      <c r="M373" s="22" t="n">
        <v>29</v>
      </c>
      <c r="N373" s="15" t="n">
        <f aca="false">SUMPRODUCT(COUNTIF(G373:L373,번호조회!$B$4:$B$9))</f>
        <v>0</v>
      </c>
    </row>
    <row r="374" customFormat="false" ht="16.5" hidden="false" customHeight="true" outlineLevel="0" collapsed="false">
      <c r="E374" s="1" t="n">
        <f aca="false">$E$13-($F$13-F374)*7</f>
        <v>43687</v>
      </c>
      <c r="F374" s="12" t="n">
        <v>871</v>
      </c>
      <c r="G374" s="16" t="n">
        <v>2</v>
      </c>
      <c r="H374" s="17" t="n">
        <v>6</v>
      </c>
      <c r="I374" s="18" t="n">
        <v>12</v>
      </c>
      <c r="J374" s="19" t="n">
        <v>26</v>
      </c>
      <c r="K374" s="20" t="n">
        <v>30</v>
      </c>
      <c r="L374" s="21" t="n">
        <v>34</v>
      </c>
      <c r="M374" s="22" t="n">
        <v>38</v>
      </c>
      <c r="N374" s="15" t="n">
        <f aca="false">SUMPRODUCT(COUNTIF(G374:L374,번호조회!$B$4:$B$9))</f>
        <v>0</v>
      </c>
    </row>
    <row r="375" customFormat="false" ht="16.5" hidden="false" customHeight="true" outlineLevel="0" collapsed="false">
      <c r="E375" s="1" t="n">
        <f aca="false">$E$13-($F$13-F375)*7</f>
        <v>43680</v>
      </c>
      <c r="F375" s="12" t="n">
        <v>870</v>
      </c>
      <c r="G375" s="16" t="n">
        <v>21</v>
      </c>
      <c r="H375" s="17" t="n">
        <v>25</v>
      </c>
      <c r="I375" s="18" t="n">
        <v>30</v>
      </c>
      <c r="J375" s="19" t="n">
        <v>32</v>
      </c>
      <c r="K375" s="20" t="n">
        <v>40</v>
      </c>
      <c r="L375" s="21" t="n">
        <v>42</v>
      </c>
      <c r="M375" s="22" t="n">
        <v>31</v>
      </c>
      <c r="N375" s="15" t="n">
        <f aca="false">SUMPRODUCT(COUNTIF(G375:L375,번호조회!$B$4:$B$9))</f>
        <v>0</v>
      </c>
    </row>
    <row r="376" customFormat="false" ht="16.5" hidden="false" customHeight="true" outlineLevel="0" collapsed="false">
      <c r="E376" s="1" t="n">
        <f aca="false">$E$13-($F$13-F376)*7</f>
        <v>43673</v>
      </c>
      <c r="F376" s="12" t="n">
        <v>869</v>
      </c>
      <c r="G376" s="16" t="n">
        <v>2</v>
      </c>
      <c r="H376" s="17" t="n">
        <v>6</v>
      </c>
      <c r="I376" s="18" t="n">
        <v>20</v>
      </c>
      <c r="J376" s="19" t="n">
        <v>27</v>
      </c>
      <c r="K376" s="20" t="n">
        <v>37</v>
      </c>
      <c r="L376" s="21" t="n">
        <v>39</v>
      </c>
      <c r="M376" s="22" t="n">
        <v>4</v>
      </c>
      <c r="N376" s="15" t="n">
        <f aca="false">SUMPRODUCT(COUNTIF(G376:L376,번호조회!$B$4:$B$9))</f>
        <v>0</v>
      </c>
    </row>
    <row r="377" customFormat="false" ht="16.5" hidden="false" customHeight="true" outlineLevel="0" collapsed="false">
      <c r="E377" s="1" t="n">
        <f aca="false">$E$13-($F$13-F377)*7</f>
        <v>43666</v>
      </c>
      <c r="F377" s="12" t="n">
        <v>868</v>
      </c>
      <c r="G377" s="16" t="n">
        <v>12</v>
      </c>
      <c r="H377" s="17" t="n">
        <v>17</v>
      </c>
      <c r="I377" s="18" t="n">
        <v>28</v>
      </c>
      <c r="J377" s="19" t="n">
        <v>41</v>
      </c>
      <c r="K377" s="20" t="n">
        <v>43</v>
      </c>
      <c r="L377" s="21" t="n">
        <v>44</v>
      </c>
      <c r="M377" s="22" t="n">
        <v>25</v>
      </c>
      <c r="N377" s="15" t="n">
        <f aca="false">SUMPRODUCT(COUNTIF(G377:L377,번호조회!$B$4:$B$9))</f>
        <v>0</v>
      </c>
    </row>
    <row r="378" customFormat="false" ht="16.5" hidden="false" customHeight="true" outlineLevel="0" collapsed="false">
      <c r="E378" s="1" t="n">
        <f aca="false">$E$13-($F$13-F378)*7</f>
        <v>43659</v>
      </c>
      <c r="F378" s="12" t="n">
        <v>867</v>
      </c>
      <c r="G378" s="16" t="n">
        <v>14</v>
      </c>
      <c r="H378" s="17" t="n">
        <v>17</v>
      </c>
      <c r="I378" s="18" t="n">
        <v>19</v>
      </c>
      <c r="J378" s="19" t="n">
        <v>22</v>
      </c>
      <c r="K378" s="20" t="n">
        <v>24</v>
      </c>
      <c r="L378" s="21" t="n">
        <v>40</v>
      </c>
      <c r="M378" s="22" t="n">
        <v>41</v>
      </c>
      <c r="N378" s="15" t="n">
        <f aca="false">SUMPRODUCT(COUNTIF(G378:L378,번호조회!$B$4:$B$9))</f>
        <v>0</v>
      </c>
    </row>
    <row r="379" customFormat="false" ht="16.5" hidden="false" customHeight="true" outlineLevel="0" collapsed="false">
      <c r="E379" s="1" t="n">
        <f aca="false">$E$13-($F$13-F379)*7</f>
        <v>43652</v>
      </c>
      <c r="F379" s="12" t="n">
        <v>866</v>
      </c>
      <c r="G379" s="16" t="n">
        <v>9</v>
      </c>
      <c r="H379" s="17" t="n">
        <v>15</v>
      </c>
      <c r="I379" s="18" t="n">
        <v>29</v>
      </c>
      <c r="J379" s="19" t="n">
        <v>34</v>
      </c>
      <c r="K379" s="20" t="n">
        <v>37</v>
      </c>
      <c r="L379" s="21" t="n">
        <v>39</v>
      </c>
      <c r="M379" s="22" t="n">
        <v>12</v>
      </c>
      <c r="N379" s="15" t="n">
        <f aca="false">SUMPRODUCT(COUNTIF(G379:L379,번호조회!$B$4:$B$9))</f>
        <v>0</v>
      </c>
    </row>
    <row r="380" customFormat="false" ht="16.5" hidden="false" customHeight="true" outlineLevel="0" collapsed="false">
      <c r="E380" s="1" t="n">
        <f aca="false">$E$13-($F$13-F380)*7</f>
        <v>43645</v>
      </c>
      <c r="F380" s="12" t="n">
        <v>865</v>
      </c>
      <c r="G380" s="16" t="n">
        <v>3</v>
      </c>
      <c r="H380" s="17" t="n">
        <v>15</v>
      </c>
      <c r="I380" s="18" t="n">
        <v>22</v>
      </c>
      <c r="J380" s="19" t="n">
        <v>32</v>
      </c>
      <c r="K380" s="20" t="n">
        <v>33</v>
      </c>
      <c r="L380" s="21" t="n">
        <v>45</v>
      </c>
      <c r="M380" s="22" t="n">
        <v>2</v>
      </c>
      <c r="N380" s="15" t="n">
        <f aca="false">SUMPRODUCT(COUNTIF(G380:L380,번호조회!$B$4:$B$9))</f>
        <v>0</v>
      </c>
    </row>
    <row r="381" customFormat="false" ht="16.5" hidden="false" customHeight="true" outlineLevel="0" collapsed="false">
      <c r="E381" s="1" t="n">
        <f aca="false">$E$13-($F$13-F381)*7</f>
        <v>43638</v>
      </c>
      <c r="F381" s="12" t="n">
        <v>864</v>
      </c>
      <c r="G381" s="16" t="n">
        <v>3</v>
      </c>
      <c r="H381" s="17" t="n">
        <v>7</v>
      </c>
      <c r="I381" s="18" t="n">
        <v>10</v>
      </c>
      <c r="J381" s="19" t="n">
        <v>13</v>
      </c>
      <c r="K381" s="20" t="n">
        <v>25</v>
      </c>
      <c r="L381" s="21" t="n">
        <v>36</v>
      </c>
      <c r="M381" s="22" t="n">
        <v>32</v>
      </c>
      <c r="N381" s="15" t="n">
        <f aca="false">SUMPRODUCT(COUNTIF(G381:L381,번호조회!$B$4:$B$9))</f>
        <v>0</v>
      </c>
    </row>
    <row r="382" customFormat="false" ht="16.5" hidden="false" customHeight="true" outlineLevel="0" collapsed="false">
      <c r="E382" s="1" t="n">
        <f aca="false">$E$13-($F$13-F382)*7</f>
        <v>43631</v>
      </c>
      <c r="F382" s="12" t="n">
        <v>863</v>
      </c>
      <c r="G382" s="16" t="n">
        <v>16</v>
      </c>
      <c r="H382" s="17" t="n">
        <v>21</v>
      </c>
      <c r="I382" s="18" t="n">
        <v>28</v>
      </c>
      <c r="J382" s="19" t="n">
        <v>35</v>
      </c>
      <c r="K382" s="20" t="n">
        <v>39</v>
      </c>
      <c r="L382" s="21" t="n">
        <v>43</v>
      </c>
      <c r="M382" s="22" t="n">
        <v>12</v>
      </c>
      <c r="N382" s="15" t="n">
        <f aca="false">SUMPRODUCT(COUNTIF(G382:L382,번호조회!$B$4:$B$9))</f>
        <v>0</v>
      </c>
    </row>
    <row r="383" customFormat="false" ht="16.5" hidden="false" customHeight="true" outlineLevel="0" collapsed="false">
      <c r="E383" s="1" t="n">
        <f aca="false">$E$13-($F$13-F383)*7</f>
        <v>43624</v>
      </c>
      <c r="F383" s="12" t="n">
        <v>862</v>
      </c>
      <c r="G383" s="16" t="n">
        <v>10</v>
      </c>
      <c r="H383" s="17" t="n">
        <v>34</v>
      </c>
      <c r="I383" s="18" t="n">
        <v>38</v>
      </c>
      <c r="J383" s="19" t="n">
        <v>40</v>
      </c>
      <c r="K383" s="20" t="n">
        <v>42</v>
      </c>
      <c r="L383" s="21" t="n">
        <v>43</v>
      </c>
      <c r="M383" s="22" t="n">
        <v>32</v>
      </c>
      <c r="N383" s="15" t="n">
        <f aca="false">SUMPRODUCT(COUNTIF(G383:L383,번호조회!$B$4:$B$9))</f>
        <v>0</v>
      </c>
    </row>
    <row r="384" customFormat="false" ht="16.5" hidden="false" customHeight="true" outlineLevel="0" collapsed="false">
      <c r="E384" s="1" t="n">
        <f aca="false">$E$13-($F$13-F384)*7</f>
        <v>43617</v>
      </c>
      <c r="F384" s="12" t="n">
        <v>861</v>
      </c>
      <c r="G384" s="16" t="n">
        <v>11</v>
      </c>
      <c r="H384" s="17" t="n">
        <v>17</v>
      </c>
      <c r="I384" s="18" t="n">
        <v>19</v>
      </c>
      <c r="J384" s="19" t="n">
        <v>21</v>
      </c>
      <c r="K384" s="20" t="n">
        <v>22</v>
      </c>
      <c r="L384" s="21" t="n">
        <v>25</v>
      </c>
      <c r="M384" s="22" t="n">
        <v>24</v>
      </c>
      <c r="N384" s="15" t="n">
        <f aca="false">SUMPRODUCT(COUNTIF(G384:L384,번호조회!$B$4:$B$9))</f>
        <v>0</v>
      </c>
    </row>
    <row r="385" customFormat="false" ht="16.5" hidden="false" customHeight="true" outlineLevel="0" collapsed="false">
      <c r="E385" s="1" t="n">
        <f aca="false">$E$13-($F$13-F385)*7</f>
        <v>43610</v>
      </c>
      <c r="F385" s="12" t="n">
        <v>860</v>
      </c>
      <c r="G385" s="16" t="n">
        <v>4</v>
      </c>
      <c r="H385" s="17" t="n">
        <v>8</v>
      </c>
      <c r="I385" s="18" t="n">
        <v>18</v>
      </c>
      <c r="J385" s="19" t="n">
        <v>25</v>
      </c>
      <c r="K385" s="20" t="n">
        <v>27</v>
      </c>
      <c r="L385" s="21" t="n">
        <v>32</v>
      </c>
      <c r="M385" s="22" t="n">
        <v>42</v>
      </c>
      <c r="N385" s="15" t="n">
        <f aca="false">SUMPRODUCT(COUNTIF(G385:L385,번호조회!$B$4:$B$9))</f>
        <v>0</v>
      </c>
    </row>
    <row r="386" customFormat="false" ht="16.5" hidden="false" customHeight="true" outlineLevel="0" collapsed="false">
      <c r="E386" s="1" t="n">
        <f aca="false">$E$13-($F$13-F386)*7</f>
        <v>43603</v>
      </c>
      <c r="F386" s="12" t="n">
        <v>859</v>
      </c>
      <c r="G386" s="16" t="n">
        <v>8</v>
      </c>
      <c r="H386" s="17" t="n">
        <v>22</v>
      </c>
      <c r="I386" s="18" t="n">
        <v>35</v>
      </c>
      <c r="J386" s="19" t="n">
        <v>38</v>
      </c>
      <c r="K386" s="20" t="n">
        <v>39</v>
      </c>
      <c r="L386" s="21" t="n">
        <v>41</v>
      </c>
      <c r="M386" s="22" t="n">
        <v>24</v>
      </c>
      <c r="N386" s="15" t="n">
        <f aca="false">SUMPRODUCT(COUNTIF(G386:L386,번호조회!$B$4:$B$9))</f>
        <v>0</v>
      </c>
    </row>
    <row r="387" customFormat="false" ht="16.5" hidden="false" customHeight="true" outlineLevel="0" collapsed="false">
      <c r="E387" s="1" t="n">
        <f aca="false">$E$13-($F$13-F387)*7</f>
        <v>43596</v>
      </c>
      <c r="F387" s="12" t="n">
        <v>858</v>
      </c>
      <c r="G387" s="16" t="n">
        <v>9</v>
      </c>
      <c r="H387" s="17" t="n">
        <v>13</v>
      </c>
      <c r="I387" s="18" t="n">
        <v>32</v>
      </c>
      <c r="J387" s="19" t="n">
        <v>38</v>
      </c>
      <c r="K387" s="20" t="n">
        <v>39</v>
      </c>
      <c r="L387" s="21" t="n">
        <v>43</v>
      </c>
      <c r="M387" s="22" t="n">
        <v>23</v>
      </c>
      <c r="N387" s="15" t="n">
        <f aca="false">SUMPRODUCT(COUNTIF(G387:L387,번호조회!$B$4:$B$9))</f>
        <v>0</v>
      </c>
    </row>
    <row r="388" customFormat="false" ht="16.5" hidden="false" customHeight="true" outlineLevel="0" collapsed="false">
      <c r="E388" s="1" t="n">
        <f aca="false">$E$13-($F$13-F388)*7</f>
        <v>43589</v>
      </c>
      <c r="F388" s="12" t="n">
        <v>857</v>
      </c>
      <c r="G388" s="16" t="n">
        <v>6</v>
      </c>
      <c r="H388" s="17" t="n">
        <v>10</v>
      </c>
      <c r="I388" s="18" t="n">
        <v>16</v>
      </c>
      <c r="J388" s="19" t="n">
        <v>28</v>
      </c>
      <c r="K388" s="20" t="n">
        <v>34</v>
      </c>
      <c r="L388" s="21" t="n">
        <v>38</v>
      </c>
      <c r="M388" s="22" t="n">
        <v>43</v>
      </c>
      <c r="N388" s="15" t="n">
        <f aca="false">SUMPRODUCT(COUNTIF(G388:L388,번호조회!$B$4:$B$9))</f>
        <v>0</v>
      </c>
    </row>
    <row r="389" customFormat="false" ht="16.5" hidden="false" customHeight="true" outlineLevel="0" collapsed="false">
      <c r="E389" s="1" t="n">
        <f aca="false">$E$13-($F$13-F389)*7</f>
        <v>43582</v>
      </c>
      <c r="F389" s="12" t="n">
        <v>856</v>
      </c>
      <c r="G389" s="16" t="n">
        <v>10</v>
      </c>
      <c r="H389" s="17" t="n">
        <v>24</v>
      </c>
      <c r="I389" s="18" t="n">
        <v>40</v>
      </c>
      <c r="J389" s="19" t="n">
        <v>41</v>
      </c>
      <c r="K389" s="20" t="n">
        <v>43</v>
      </c>
      <c r="L389" s="21" t="n">
        <v>44</v>
      </c>
      <c r="M389" s="22" t="n">
        <v>17</v>
      </c>
      <c r="N389" s="15" t="n">
        <f aca="false">SUMPRODUCT(COUNTIF(G389:L389,번호조회!$B$4:$B$9))</f>
        <v>0</v>
      </c>
    </row>
    <row r="390" customFormat="false" ht="16.5" hidden="false" customHeight="true" outlineLevel="0" collapsed="false">
      <c r="E390" s="1" t="n">
        <f aca="false">$E$13-($F$13-F390)*7</f>
        <v>43575</v>
      </c>
      <c r="F390" s="12" t="n">
        <v>855</v>
      </c>
      <c r="G390" s="16" t="n">
        <v>8</v>
      </c>
      <c r="H390" s="17" t="n">
        <v>15</v>
      </c>
      <c r="I390" s="18" t="n">
        <v>17</v>
      </c>
      <c r="J390" s="19" t="n">
        <v>19</v>
      </c>
      <c r="K390" s="20" t="n">
        <v>43</v>
      </c>
      <c r="L390" s="21" t="n">
        <v>44</v>
      </c>
      <c r="M390" s="22" t="n">
        <v>7</v>
      </c>
      <c r="N390" s="15" t="n">
        <f aca="false">SUMPRODUCT(COUNTIF(G390:L390,번호조회!$B$4:$B$9))</f>
        <v>0</v>
      </c>
    </row>
    <row r="391" customFormat="false" ht="16.5" hidden="false" customHeight="true" outlineLevel="0" collapsed="false">
      <c r="E391" s="1" t="n">
        <f aca="false">$E$13-($F$13-F391)*7</f>
        <v>43568</v>
      </c>
      <c r="F391" s="12" t="n">
        <v>854</v>
      </c>
      <c r="G391" s="16" t="n">
        <v>20</v>
      </c>
      <c r="H391" s="17" t="n">
        <v>25</v>
      </c>
      <c r="I391" s="18" t="n">
        <v>31</v>
      </c>
      <c r="J391" s="19" t="n">
        <v>32</v>
      </c>
      <c r="K391" s="20" t="n">
        <v>36</v>
      </c>
      <c r="L391" s="21" t="n">
        <v>43</v>
      </c>
      <c r="M391" s="22" t="n">
        <v>3</v>
      </c>
      <c r="N391" s="15" t="n">
        <f aca="false">SUMPRODUCT(COUNTIF(G391:L391,번호조회!$B$4:$B$9))</f>
        <v>0</v>
      </c>
    </row>
    <row r="392" customFormat="false" ht="16.5" hidden="false" customHeight="true" outlineLevel="0" collapsed="false">
      <c r="E392" s="1" t="n">
        <f aca="false">$E$13-($F$13-F392)*7</f>
        <v>43561</v>
      </c>
      <c r="F392" s="12" t="n">
        <v>853</v>
      </c>
      <c r="G392" s="16" t="n">
        <v>2</v>
      </c>
      <c r="H392" s="17" t="n">
        <v>8</v>
      </c>
      <c r="I392" s="18" t="n">
        <v>23</v>
      </c>
      <c r="J392" s="19" t="n">
        <v>26</v>
      </c>
      <c r="K392" s="20" t="n">
        <v>27</v>
      </c>
      <c r="L392" s="21" t="n">
        <v>44</v>
      </c>
      <c r="M392" s="22" t="n">
        <v>13</v>
      </c>
      <c r="N392" s="15" t="n">
        <f aca="false">SUMPRODUCT(COUNTIF(G392:L392,번호조회!$B$4:$B$9))</f>
        <v>0</v>
      </c>
    </row>
    <row r="393" customFormat="false" ht="16.5" hidden="false" customHeight="true" outlineLevel="0" collapsed="false">
      <c r="E393" s="1" t="n">
        <f aca="false">$E$13-($F$13-F393)*7</f>
        <v>43554</v>
      </c>
      <c r="F393" s="12" t="n">
        <v>852</v>
      </c>
      <c r="G393" s="16" t="n">
        <v>11</v>
      </c>
      <c r="H393" s="17" t="n">
        <v>17</v>
      </c>
      <c r="I393" s="18" t="n">
        <v>28</v>
      </c>
      <c r="J393" s="19" t="n">
        <v>30</v>
      </c>
      <c r="K393" s="20" t="n">
        <v>33</v>
      </c>
      <c r="L393" s="21" t="n">
        <v>35</v>
      </c>
      <c r="M393" s="22" t="n">
        <v>9</v>
      </c>
      <c r="N393" s="15" t="n">
        <f aca="false">SUMPRODUCT(COUNTIF(G393:L393,번호조회!$B$4:$B$9))</f>
        <v>0</v>
      </c>
    </row>
    <row r="394" customFormat="false" ht="16.5" hidden="false" customHeight="true" outlineLevel="0" collapsed="false">
      <c r="E394" s="1" t="n">
        <f aca="false">$E$13-($F$13-F394)*7</f>
        <v>43547</v>
      </c>
      <c r="F394" s="12" t="n">
        <v>851</v>
      </c>
      <c r="G394" s="16" t="n">
        <v>14</v>
      </c>
      <c r="H394" s="17" t="n">
        <v>18</v>
      </c>
      <c r="I394" s="18" t="n">
        <v>22</v>
      </c>
      <c r="J394" s="19" t="n">
        <v>26</v>
      </c>
      <c r="K394" s="20" t="n">
        <v>31</v>
      </c>
      <c r="L394" s="21" t="n">
        <v>44</v>
      </c>
      <c r="M394" s="22" t="n">
        <v>40</v>
      </c>
      <c r="N394" s="15" t="n">
        <f aca="false">SUMPRODUCT(COUNTIF(G394:L394,번호조회!$B$4:$B$9))</f>
        <v>0</v>
      </c>
    </row>
    <row r="395" customFormat="false" ht="16.5" hidden="false" customHeight="true" outlineLevel="0" collapsed="false">
      <c r="E395" s="1" t="n">
        <f aca="false">$E$13-($F$13-F395)*7</f>
        <v>43540</v>
      </c>
      <c r="F395" s="12" t="n">
        <v>850</v>
      </c>
      <c r="G395" s="16" t="n">
        <v>16</v>
      </c>
      <c r="H395" s="17" t="n">
        <v>20</v>
      </c>
      <c r="I395" s="18" t="n">
        <v>24</v>
      </c>
      <c r="J395" s="19" t="n">
        <v>28</v>
      </c>
      <c r="K395" s="20" t="n">
        <v>36</v>
      </c>
      <c r="L395" s="21" t="n">
        <v>39</v>
      </c>
      <c r="M395" s="22" t="n">
        <v>5</v>
      </c>
      <c r="N395" s="15" t="n">
        <f aca="false">SUMPRODUCT(COUNTIF(G395:L395,번호조회!$B$4:$B$9))</f>
        <v>0</v>
      </c>
    </row>
    <row r="396" customFormat="false" ht="16.5" hidden="false" customHeight="true" outlineLevel="0" collapsed="false">
      <c r="E396" s="1" t="n">
        <f aca="false">$E$13-($F$13-F396)*7</f>
        <v>43533</v>
      </c>
      <c r="F396" s="12" t="n">
        <v>849</v>
      </c>
      <c r="G396" s="16" t="n">
        <v>5</v>
      </c>
      <c r="H396" s="17" t="n">
        <v>13</v>
      </c>
      <c r="I396" s="18" t="n">
        <v>17</v>
      </c>
      <c r="J396" s="19" t="n">
        <v>29</v>
      </c>
      <c r="K396" s="20" t="n">
        <v>34</v>
      </c>
      <c r="L396" s="21" t="n">
        <v>39</v>
      </c>
      <c r="M396" s="22" t="n">
        <v>3</v>
      </c>
      <c r="N396" s="15" t="n">
        <f aca="false">SUMPRODUCT(COUNTIF(G396:L396,번호조회!$B$4:$B$9))</f>
        <v>0</v>
      </c>
    </row>
    <row r="397" customFormat="false" ht="16.5" hidden="false" customHeight="true" outlineLevel="0" collapsed="false">
      <c r="E397" s="1" t="n">
        <f aca="false">$E$13-($F$13-F397)*7</f>
        <v>43526</v>
      </c>
      <c r="F397" s="12" t="n">
        <v>848</v>
      </c>
      <c r="G397" s="16" t="n">
        <v>1</v>
      </c>
      <c r="H397" s="17" t="n">
        <v>2</v>
      </c>
      <c r="I397" s="18" t="n">
        <v>16</v>
      </c>
      <c r="J397" s="19" t="n">
        <v>22</v>
      </c>
      <c r="K397" s="20" t="n">
        <v>38</v>
      </c>
      <c r="L397" s="21" t="n">
        <v>39</v>
      </c>
      <c r="M397" s="22" t="n">
        <v>34</v>
      </c>
      <c r="N397" s="15" t="n">
        <f aca="false">SUMPRODUCT(COUNTIF(G397:L397,번호조회!$B$4:$B$9))</f>
        <v>0</v>
      </c>
    </row>
    <row r="398" customFormat="false" ht="16.5" hidden="false" customHeight="true" outlineLevel="0" collapsed="false">
      <c r="E398" s="1" t="n">
        <f aca="false">$E$13-($F$13-F398)*7</f>
        <v>43519</v>
      </c>
      <c r="F398" s="12" t="n">
        <v>847</v>
      </c>
      <c r="G398" s="16" t="n">
        <v>12</v>
      </c>
      <c r="H398" s="17" t="n">
        <v>16</v>
      </c>
      <c r="I398" s="18" t="n">
        <v>26</v>
      </c>
      <c r="J398" s="19" t="n">
        <v>28</v>
      </c>
      <c r="K398" s="20" t="n">
        <v>30</v>
      </c>
      <c r="L398" s="21" t="n">
        <v>42</v>
      </c>
      <c r="M398" s="22" t="n">
        <v>22</v>
      </c>
      <c r="N398" s="15" t="n">
        <f aca="false">SUMPRODUCT(COUNTIF(G398:L398,번호조회!$B$4:$B$9))</f>
        <v>0</v>
      </c>
    </row>
    <row r="399" customFormat="false" ht="16.5" hidden="false" customHeight="true" outlineLevel="0" collapsed="false">
      <c r="E399" s="1" t="n">
        <f aca="false">$E$13-($F$13-F399)*7</f>
        <v>43512</v>
      </c>
      <c r="F399" s="12" t="n">
        <v>846</v>
      </c>
      <c r="G399" s="16" t="n">
        <v>5</v>
      </c>
      <c r="H399" s="17" t="n">
        <v>18</v>
      </c>
      <c r="I399" s="18" t="n">
        <v>30</v>
      </c>
      <c r="J399" s="19" t="n">
        <v>41</v>
      </c>
      <c r="K399" s="20" t="n">
        <v>43</v>
      </c>
      <c r="L399" s="21" t="n">
        <v>45</v>
      </c>
      <c r="M399" s="22" t="n">
        <v>13</v>
      </c>
      <c r="N399" s="15" t="n">
        <f aca="false">SUMPRODUCT(COUNTIF(G399:L399,번호조회!$B$4:$B$9))</f>
        <v>0</v>
      </c>
    </row>
    <row r="400" customFormat="false" ht="16.5" hidden="false" customHeight="true" outlineLevel="0" collapsed="false">
      <c r="E400" s="1" t="n">
        <f aca="false">$E$13-($F$13-F400)*7</f>
        <v>43505</v>
      </c>
      <c r="F400" s="12" t="n">
        <v>845</v>
      </c>
      <c r="G400" s="16" t="n">
        <v>1</v>
      </c>
      <c r="H400" s="17" t="n">
        <v>16</v>
      </c>
      <c r="I400" s="18" t="n">
        <v>29</v>
      </c>
      <c r="J400" s="19" t="n">
        <v>33</v>
      </c>
      <c r="K400" s="20" t="n">
        <v>40</v>
      </c>
      <c r="L400" s="21" t="n">
        <v>45</v>
      </c>
      <c r="M400" s="22" t="n">
        <v>6</v>
      </c>
      <c r="N400" s="15" t="n">
        <f aca="false">SUMPRODUCT(COUNTIF(G400:L400,번호조회!$B$4:$B$9))</f>
        <v>0</v>
      </c>
    </row>
    <row r="401" customFormat="false" ht="16.5" hidden="false" customHeight="true" outlineLevel="0" collapsed="false">
      <c r="E401" s="1" t="n">
        <f aca="false">$E$13-($F$13-F401)*7</f>
        <v>43498</v>
      </c>
      <c r="F401" s="12" t="n">
        <v>844</v>
      </c>
      <c r="G401" s="16" t="n">
        <v>7</v>
      </c>
      <c r="H401" s="17" t="n">
        <v>8</v>
      </c>
      <c r="I401" s="18" t="n">
        <v>13</v>
      </c>
      <c r="J401" s="19" t="n">
        <v>15</v>
      </c>
      <c r="K401" s="20" t="n">
        <v>33</v>
      </c>
      <c r="L401" s="21" t="n">
        <v>45</v>
      </c>
      <c r="M401" s="22" t="n">
        <v>18</v>
      </c>
      <c r="N401" s="15" t="n">
        <f aca="false">SUMPRODUCT(COUNTIF(G401:L401,번호조회!$B$4:$B$9))</f>
        <v>0</v>
      </c>
    </row>
    <row r="402" customFormat="false" ht="16.5" hidden="false" customHeight="true" outlineLevel="0" collapsed="false">
      <c r="E402" s="1" t="n">
        <f aca="false">$E$13-($F$13-F402)*7</f>
        <v>43491</v>
      </c>
      <c r="F402" s="12" t="n">
        <v>843</v>
      </c>
      <c r="G402" s="16" t="n">
        <v>19</v>
      </c>
      <c r="H402" s="17" t="n">
        <v>21</v>
      </c>
      <c r="I402" s="18" t="n">
        <v>30</v>
      </c>
      <c r="J402" s="19" t="n">
        <v>33</v>
      </c>
      <c r="K402" s="20" t="n">
        <v>34</v>
      </c>
      <c r="L402" s="21" t="n">
        <v>42</v>
      </c>
      <c r="M402" s="22" t="n">
        <v>4</v>
      </c>
      <c r="N402" s="15" t="n">
        <f aca="false">SUMPRODUCT(COUNTIF(G402:L402,번호조회!$B$4:$B$9))</f>
        <v>0</v>
      </c>
    </row>
    <row r="403" customFormat="false" ht="16.5" hidden="false" customHeight="true" outlineLevel="0" collapsed="false">
      <c r="E403" s="1" t="n">
        <f aca="false">$E$13-($F$13-F403)*7</f>
        <v>43484</v>
      </c>
      <c r="F403" s="12" t="n">
        <v>842</v>
      </c>
      <c r="G403" s="16" t="n">
        <v>14</v>
      </c>
      <c r="H403" s="17" t="n">
        <v>26</v>
      </c>
      <c r="I403" s="18" t="n">
        <v>32</v>
      </c>
      <c r="J403" s="19" t="n">
        <v>36</v>
      </c>
      <c r="K403" s="20" t="n">
        <v>39</v>
      </c>
      <c r="L403" s="21" t="n">
        <v>42</v>
      </c>
      <c r="M403" s="22" t="n">
        <v>38</v>
      </c>
      <c r="N403" s="15" t="n">
        <f aca="false">SUMPRODUCT(COUNTIF(G403:L403,번호조회!$B$4:$B$9))</f>
        <v>0</v>
      </c>
    </row>
    <row r="404" customFormat="false" ht="16.5" hidden="false" customHeight="true" outlineLevel="0" collapsed="false">
      <c r="E404" s="1" t="n">
        <f aca="false">$E$13-($F$13-F404)*7</f>
        <v>43477</v>
      </c>
      <c r="F404" s="12" t="n">
        <v>841</v>
      </c>
      <c r="G404" s="16" t="n">
        <v>5</v>
      </c>
      <c r="H404" s="17" t="n">
        <v>11</v>
      </c>
      <c r="I404" s="18" t="n">
        <v>14</v>
      </c>
      <c r="J404" s="19" t="n">
        <v>30</v>
      </c>
      <c r="K404" s="20" t="n">
        <v>33</v>
      </c>
      <c r="L404" s="21" t="n">
        <v>38</v>
      </c>
      <c r="M404" s="22" t="n">
        <v>24</v>
      </c>
      <c r="N404" s="15" t="n">
        <f aca="false">SUMPRODUCT(COUNTIF(G404:L404,번호조회!$B$4:$B$9))</f>
        <v>0</v>
      </c>
    </row>
    <row r="405" customFormat="false" ht="16.5" hidden="false" customHeight="true" outlineLevel="0" collapsed="false">
      <c r="E405" s="1" t="n">
        <f aca="false">$E$13-($F$13-F405)*7</f>
        <v>43470</v>
      </c>
      <c r="F405" s="12" t="n">
        <v>840</v>
      </c>
      <c r="G405" s="16" t="n">
        <v>2</v>
      </c>
      <c r="H405" s="17" t="n">
        <v>4</v>
      </c>
      <c r="I405" s="18" t="n">
        <v>11</v>
      </c>
      <c r="J405" s="19" t="n">
        <v>28</v>
      </c>
      <c r="K405" s="20" t="n">
        <v>29</v>
      </c>
      <c r="L405" s="21" t="n">
        <v>43</v>
      </c>
      <c r="M405" s="22" t="n">
        <v>27</v>
      </c>
      <c r="N405" s="15" t="n">
        <f aca="false">SUMPRODUCT(COUNTIF(G405:L405,번호조회!$B$4:$B$9))</f>
        <v>0</v>
      </c>
    </row>
    <row r="406" customFormat="false" ht="16.5" hidden="false" customHeight="true" outlineLevel="0" collapsed="false">
      <c r="E406" s="1" t="n">
        <f aca="false">$E$13-($F$13-F406)*7</f>
        <v>43463</v>
      </c>
      <c r="F406" s="12" t="n">
        <v>839</v>
      </c>
      <c r="G406" s="16" t="n">
        <v>3</v>
      </c>
      <c r="H406" s="17" t="n">
        <v>9</v>
      </c>
      <c r="I406" s="18" t="n">
        <v>11</v>
      </c>
      <c r="J406" s="19" t="n">
        <v>12</v>
      </c>
      <c r="K406" s="20" t="n">
        <v>13</v>
      </c>
      <c r="L406" s="21" t="n">
        <v>19</v>
      </c>
      <c r="M406" s="22" t="n">
        <v>35</v>
      </c>
      <c r="N406" s="15" t="n">
        <f aca="false">SUMPRODUCT(COUNTIF(G406:L406,번호조회!$B$4:$B$9))</f>
        <v>0</v>
      </c>
    </row>
    <row r="407" customFormat="false" ht="16.5" hidden="false" customHeight="true" outlineLevel="0" collapsed="false">
      <c r="E407" s="1" t="n">
        <f aca="false">$E$13-($F$13-F407)*7</f>
        <v>43456</v>
      </c>
      <c r="F407" s="12" t="n">
        <v>838</v>
      </c>
      <c r="G407" s="16" t="n">
        <v>9</v>
      </c>
      <c r="H407" s="17" t="n">
        <v>14</v>
      </c>
      <c r="I407" s="18" t="n">
        <v>17</v>
      </c>
      <c r="J407" s="19" t="n">
        <v>33</v>
      </c>
      <c r="K407" s="20" t="n">
        <v>36</v>
      </c>
      <c r="L407" s="21" t="n">
        <v>38</v>
      </c>
      <c r="M407" s="22" t="n">
        <v>20</v>
      </c>
      <c r="N407" s="15" t="n">
        <f aca="false">SUMPRODUCT(COUNTIF(G407:L407,번호조회!$B$4:$B$9))</f>
        <v>0</v>
      </c>
    </row>
    <row r="408" customFormat="false" ht="16.5" hidden="false" customHeight="true" outlineLevel="0" collapsed="false">
      <c r="E408" s="1" t="n">
        <f aca="false">$E$13-($F$13-F408)*7</f>
        <v>43449</v>
      </c>
      <c r="F408" s="12" t="n">
        <v>837</v>
      </c>
      <c r="G408" s="16" t="n">
        <v>2</v>
      </c>
      <c r="H408" s="17" t="n">
        <v>25</v>
      </c>
      <c r="I408" s="18" t="n">
        <v>28</v>
      </c>
      <c r="J408" s="19" t="n">
        <v>30</v>
      </c>
      <c r="K408" s="20" t="n">
        <v>33</v>
      </c>
      <c r="L408" s="21" t="n">
        <v>45</v>
      </c>
      <c r="M408" s="22" t="n">
        <v>6</v>
      </c>
      <c r="N408" s="15" t="n">
        <f aca="false">SUMPRODUCT(COUNTIF(G408:L408,번호조회!$B$4:$B$9))</f>
        <v>0</v>
      </c>
    </row>
    <row r="409" customFormat="false" ht="16.5" hidden="false" customHeight="true" outlineLevel="0" collapsed="false">
      <c r="E409" s="1" t="n">
        <f aca="false">$E$13-($F$13-F409)*7</f>
        <v>43442</v>
      </c>
      <c r="F409" s="12" t="n">
        <v>836</v>
      </c>
      <c r="G409" s="16" t="n">
        <v>1</v>
      </c>
      <c r="H409" s="17" t="n">
        <v>9</v>
      </c>
      <c r="I409" s="18" t="n">
        <v>11</v>
      </c>
      <c r="J409" s="19" t="n">
        <v>14</v>
      </c>
      <c r="K409" s="20" t="n">
        <v>26</v>
      </c>
      <c r="L409" s="21" t="n">
        <v>28</v>
      </c>
      <c r="M409" s="22" t="n">
        <v>19</v>
      </c>
      <c r="N409" s="15" t="n">
        <f aca="false">SUMPRODUCT(COUNTIF(G409:L409,번호조회!$B$4:$B$9))</f>
        <v>0</v>
      </c>
    </row>
    <row r="410" customFormat="false" ht="16.5" hidden="false" customHeight="true" outlineLevel="0" collapsed="false">
      <c r="E410" s="1" t="n">
        <f aca="false">$E$13-($F$13-F410)*7</f>
        <v>43435</v>
      </c>
      <c r="F410" s="12" t="n">
        <v>835</v>
      </c>
      <c r="G410" s="16" t="n">
        <v>9</v>
      </c>
      <c r="H410" s="17" t="n">
        <v>10</v>
      </c>
      <c r="I410" s="18" t="n">
        <v>13</v>
      </c>
      <c r="J410" s="19" t="n">
        <v>28</v>
      </c>
      <c r="K410" s="20" t="n">
        <v>38</v>
      </c>
      <c r="L410" s="21" t="n">
        <v>45</v>
      </c>
      <c r="M410" s="22" t="n">
        <v>35</v>
      </c>
      <c r="N410" s="15" t="n">
        <f aca="false">SUMPRODUCT(COUNTIF(G410:L410,번호조회!$B$4:$B$9))</f>
        <v>0</v>
      </c>
    </row>
    <row r="411" customFormat="false" ht="16.5" hidden="false" customHeight="true" outlineLevel="0" collapsed="false">
      <c r="E411" s="1" t="n">
        <f aca="false">$E$13-($F$13-F411)*7</f>
        <v>43428</v>
      </c>
      <c r="F411" s="12" t="n">
        <v>834</v>
      </c>
      <c r="G411" s="16" t="n">
        <v>6</v>
      </c>
      <c r="H411" s="17" t="n">
        <v>8</v>
      </c>
      <c r="I411" s="18" t="n">
        <v>18</v>
      </c>
      <c r="J411" s="19" t="n">
        <v>35</v>
      </c>
      <c r="K411" s="20" t="n">
        <v>42</v>
      </c>
      <c r="L411" s="21" t="n">
        <v>43</v>
      </c>
      <c r="M411" s="22" t="n">
        <v>3</v>
      </c>
      <c r="N411" s="15" t="n">
        <f aca="false">SUMPRODUCT(COUNTIF(G411:L411,번호조회!$B$4:$B$9))</f>
        <v>0</v>
      </c>
    </row>
    <row r="412" customFormat="false" ht="16.5" hidden="false" customHeight="true" outlineLevel="0" collapsed="false">
      <c r="E412" s="1" t="n">
        <f aca="false">$E$13-($F$13-F412)*7</f>
        <v>43421</v>
      </c>
      <c r="F412" s="12" t="n">
        <v>833</v>
      </c>
      <c r="G412" s="16" t="n">
        <v>12</v>
      </c>
      <c r="H412" s="17" t="n">
        <v>18</v>
      </c>
      <c r="I412" s="18" t="n">
        <v>30</v>
      </c>
      <c r="J412" s="19" t="n">
        <v>39</v>
      </c>
      <c r="K412" s="20" t="n">
        <v>41</v>
      </c>
      <c r="L412" s="21" t="n">
        <v>42</v>
      </c>
      <c r="M412" s="22" t="n">
        <v>19</v>
      </c>
      <c r="N412" s="15" t="n">
        <f aca="false">SUMPRODUCT(COUNTIF(G412:L412,번호조회!$B$4:$B$9))</f>
        <v>0</v>
      </c>
    </row>
    <row r="413" customFormat="false" ht="16.5" hidden="false" customHeight="true" outlineLevel="0" collapsed="false">
      <c r="E413" s="1" t="n">
        <f aca="false">$E$13-($F$13-F413)*7</f>
        <v>43414</v>
      </c>
      <c r="F413" s="12" t="n">
        <v>832</v>
      </c>
      <c r="G413" s="16" t="n">
        <v>13</v>
      </c>
      <c r="H413" s="17" t="n">
        <v>14</v>
      </c>
      <c r="I413" s="18" t="n">
        <v>19</v>
      </c>
      <c r="J413" s="19" t="n">
        <v>26</v>
      </c>
      <c r="K413" s="20" t="n">
        <v>40</v>
      </c>
      <c r="L413" s="21" t="n">
        <v>43</v>
      </c>
      <c r="M413" s="22" t="n">
        <v>30</v>
      </c>
      <c r="N413" s="15" t="n">
        <f aca="false">SUMPRODUCT(COUNTIF(G413:L413,번호조회!$B$4:$B$9))</f>
        <v>0</v>
      </c>
    </row>
    <row r="414" customFormat="false" ht="16.5" hidden="false" customHeight="true" outlineLevel="0" collapsed="false">
      <c r="E414" s="1" t="n">
        <f aca="false">$E$13-($F$13-F414)*7</f>
        <v>43407</v>
      </c>
      <c r="F414" s="12" t="n">
        <v>831</v>
      </c>
      <c r="G414" s="16" t="n">
        <v>3</v>
      </c>
      <c r="H414" s="17" t="n">
        <v>10</v>
      </c>
      <c r="I414" s="18" t="n">
        <v>16</v>
      </c>
      <c r="J414" s="19" t="n">
        <v>19</v>
      </c>
      <c r="K414" s="20" t="n">
        <v>31</v>
      </c>
      <c r="L414" s="21" t="n">
        <v>39</v>
      </c>
      <c r="M414" s="22" t="n">
        <v>9</v>
      </c>
      <c r="N414" s="15" t="n">
        <f aca="false">SUMPRODUCT(COUNTIF(G414:L414,번호조회!$B$4:$B$9))</f>
        <v>0</v>
      </c>
    </row>
    <row r="415" customFormat="false" ht="16.5" hidden="false" customHeight="true" outlineLevel="0" collapsed="false">
      <c r="E415" s="1" t="n">
        <f aca="false">$E$13-($F$13-F415)*7</f>
        <v>43400</v>
      </c>
      <c r="F415" s="12" t="n">
        <v>830</v>
      </c>
      <c r="G415" s="16" t="n">
        <v>5</v>
      </c>
      <c r="H415" s="17" t="n">
        <v>6</v>
      </c>
      <c r="I415" s="18" t="n">
        <v>16</v>
      </c>
      <c r="J415" s="19" t="n">
        <v>18</v>
      </c>
      <c r="K415" s="20" t="n">
        <v>37</v>
      </c>
      <c r="L415" s="21" t="n">
        <v>38</v>
      </c>
      <c r="M415" s="22" t="n">
        <v>17</v>
      </c>
      <c r="N415" s="15" t="n">
        <f aca="false">SUMPRODUCT(COUNTIF(G415:L415,번호조회!$B$4:$B$9))</f>
        <v>0</v>
      </c>
    </row>
    <row r="416" customFormat="false" ht="16.5" hidden="false" customHeight="true" outlineLevel="0" collapsed="false">
      <c r="E416" s="1" t="n">
        <f aca="false">$E$13-($F$13-F416)*7</f>
        <v>43393</v>
      </c>
      <c r="F416" s="12" t="n">
        <v>829</v>
      </c>
      <c r="G416" s="16" t="n">
        <v>4</v>
      </c>
      <c r="H416" s="17" t="n">
        <v>5</v>
      </c>
      <c r="I416" s="18" t="n">
        <v>31</v>
      </c>
      <c r="J416" s="19" t="n">
        <v>35</v>
      </c>
      <c r="K416" s="20" t="n">
        <v>43</v>
      </c>
      <c r="L416" s="21" t="n">
        <v>45</v>
      </c>
      <c r="M416" s="22" t="n">
        <v>29</v>
      </c>
      <c r="N416" s="15" t="n">
        <f aca="false">SUMPRODUCT(COUNTIF(G416:L416,번호조회!$B$4:$B$9))</f>
        <v>0</v>
      </c>
    </row>
    <row r="417" customFormat="false" ht="16.5" hidden="false" customHeight="true" outlineLevel="0" collapsed="false">
      <c r="E417" s="1" t="n">
        <f aca="false">$E$13-($F$13-F417)*7</f>
        <v>43386</v>
      </c>
      <c r="F417" s="12" t="n">
        <v>828</v>
      </c>
      <c r="G417" s="16" t="n">
        <v>4</v>
      </c>
      <c r="H417" s="17" t="n">
        <v>7</v>
      </c>
      <c r="I417" s="18" t="n">
        <v>13</v>
      </c>
      <c r="J417" s="19" t="n">
        <v>29</v>
      </c>
      <c r="K417" s="20" t="n">
        <v>31</v>
      </c>
      <c r="L417" s="21" t="n">
        <v>39</v>
      </c>
      <c r="M417" s="22" t="n">
        <v>18</v>
      </c>
      <c r="N417" s="15" t="n">
        <f aca="false">SUMPRODUCT(COUNTIF(G417:L417,번호조회!$B$4:$B$9))</f>
        <v>0</v>
      </c>
    </row>
    <row r="418" customFormat="false" ht="16.5" hidden="false" customHeight="true" outlineLevel="0" collapsed="false">
      <c r="E418" s="1" t="n">
        <f aca="false">$E$13-($F$13-F418)*7</f>
        <v>43379</v>
      </c>
      <c r="F418" s="12" t="n">
        <v>827</v>
      </c>
      <c r="G418" s="16" t="n">
        <v>5</v>
      </c>
      <c r="H418" s="17" t="n">
        <v>11</v>
      </c>
      <c r="I418" s="18" t="n">
        <v>12</v>
      </c>
      <c r="J418" s="19" t="n">
        <v>29</v>
      </c>
      <c r="K418" s="20" t="n">
        <v>33</v>
      </c>
      <c r="L418" s="21" t="n">
        <v>44</v>
      </c>
      <c r="M418" s="22" t="n">
        <v>14</v>
      </c>
      <c r="N418" s="15" t="n">
        <f aca="false">SUMPRODUCT(COUNTIF(G418:L418,번호조회!$B$4:$B$9))</f>
        <v>0</v>
      </c>
    </row>
    <row r="419" customFormat="false" ht="16.5" hidden="false" customHeight="true" outlineLevel="0" collapsed="false">
      <c r="E419" s="1" t="n">
        <f aca="false">$E$13-($F$13-F419)*7</f>
        <v>43372</v>
      </c>
      <c r="F419" s="12" t="n">
        <v>826</v>
      </c>
      <c r="G419" s="16" t="n">
        <v>13</v>
      </c>
      <c r="H419" s="17" t="n">
        <v>16</v>
      </c>
      <c r="I419" s="18" t="n">
        <v>24</v>
      </c>
      <c r="J419" s="19" t="n">
        <v>25</v>
      </c>
      <c r="K419" s="20" t="n">
        <v>33</v>
      </c>
      <c r="L419" s="21" t="n">
        <v>36</v>
      </c>
      <c r="M419" s="22" t="n">
        <v>42</v>
      </c>
      <c r="N419" s="15" t="n">
        <f aca="false">SUMPRODUCT(COUNTIF(G419:L419,번호조회!$B$4:$B$9))</f>
        <v>0</v>
      </c>
    </row>
    <row r="420" customFormat="false" ht="16.5" hidden="false" customHeight="true" outlineLevel="0" collapsed="false">
      <c r="E420" s="1" t="n">
        <f aca="false">$E$13-($F$13-F420)*7</f>
        <v>43365</v>
      </c>
      <c r="F420" s="12" t="n">
        <v>825</v>
      </c>
      <c r="G420" s="16" t="n">
        <v>8</v>
      </c>
      <c r="H420" s="17" t="n">
        <v>15</v>
      </c>
      <c r="I420" s="18" t="n">
        <v>21</v>
      </c>
      <c r="J420" s="19" t="n">
        <v>31</v>
      </c>
      <c r="K420" s="20" t="n">
        <v>33</v>
      </c>
      <c r="L420" s="21" t="n">
        <v>38</v>
      </c>
      <c r="M420" s="22" t="n">
        <v>42</v>
      </c>
      <c r="N420" s="15" t="n">
        <f aca="false">SUMPRODUCT(COUNTIF(G420:L420,번호조회!$B$4:$B$9))</f>
        <v>0</v>
      </c>
    </row>
    <row r="421" customFormat="false" ht="16.5" hidden="false" customHeight="true" outlineLevel="0" collapsed="false">
      <c r="E421" s="1" t="n">
        <f aca="false">$E$13-($F$13-F421)*7</f>
        <v>43358</v>
      </c>
      <c r="F421" s="12" t="n">
        <v>824</v>
      </c>
      <c r="G421" s="16" t="n">
        <v>7</v>
      </c>
      <c r="H421" s="17" t="n">
        <v>9</v>
      </c>
      <c r="I421" s="18" t="n">
        <v>24</v>
      </c>
      <c r="J421" s="19" t="n">
        <v>29</v>
      </c>
      <c r="K421" s="20" t="n">
        <v>34</v>
      </c>
      <c r="L421" s="21" t="n">
        <v>38</v>
      </c>
      <c r="M421" s="22" t="n">
        <v>26</v>
      </c>
      <c r="N421" s="15" t="n">
        <f aca="false">SUMPRODUCT(COUNTIF(G421:L421,번호조회!$B$4:$B$9))</f>
        <v>0</v>
      </c>
    </row>
    <row r="422" customFormat="false" ht="16.5" hidden="false" customHeight="true" outlineLevel="0" collapsed="false">
      <c r="E422" s="1" t="n">
        <f aca="false">$E$13-($F$13-F422)*7</f>
        <v>43351</v>
      </c>
      <c r="F422" s="12" t="n">
        <v>823</v>
      </c>
      <c r="G422" s="16" t="n">
        <v>12</v>
      </c>
      <c r="H422" s="17" t="n">
        <v>18</v>
      </c>
      <c r="I422" s="18" t="n">
        <v>24</v>
      </c>
      <c r="J422" s="19" t="n">
        <v>26</v>
      </c>
      <c r="K422" s="20" t="n">
        <v>39</v>
      </c>
      <c r="L422" s="21" t="n">
        <v>40</v>
      </c>
      <c r="M422" s="22" t="n">
        <v>15</v>
      </c>
      <c r="N422" s="15" t="n">
        <f aca="false">SUMPRODUCT(COUNTIF(G422:L422,번호조회!$B$4:$B$9))</f>
        <v>0</v>
      </c>
    </row>
    <row r="423" customFormat="false" ht="16.5" hidden="false" customHeight="true" outlineLevel="0" collapsed="false">
      <c r="E423" s="1" t="n">
        <f aca="false">$E$13-($F$13-F423)*7</f>
        <v>43344</v>
      </c>
      <c r="F423" s="12" t="n">
        <v>822</v>
      </c>
      <c r="G423" s="16" t="n">
        <v>9</v>
      </c>
      <c r="H423" s="17" t="n">
        <v>18</v>
      </c>
      <c r="I423" s="18" t="n">
        <v>20</v>
      </c>
      <c r="J423" s="19" t="n">
        <v>24</v>
      </c>
      <c r="K423" s="20" t="n">
        <v>27</v>
      </c>
      <c r="L423" s="21" t="n">
        <v>36</v>
      </c>
      <c r="M423" s="22" t="n">
        <v>12</v>
      </c>
      <c r="N423" s="15" t="n">
        <f aca="false">SUMPRODUCT(COUNTIF(G423:L423,번호조회!$B$4:$B$9))</f>
        <v>0</v>
      </c>
    </row>
    <row r="424" customFormat="false" ht="16.5" hidden="false" customHeight="true" outlineLevel="0" collapsed="false">
      <c r="E424" s="1" t="n">
        <f aca="false">$E$13-($F$13-F424)*7</f>
        <v>43337</v>
      </c>
      <c r="F424" s="12" t="n">
        <v>821</v>
      </c>
      <c r="G424" s="16" t="n">
        <v>1</v>
      </c>
      <c r="H424" s="17" t="n">
        <v>12</v>
      </c>
      <c r="I424" s="18" t="n">
        <v>13</v>
      </c>
      <c r="J424" s="19" t="n">
        <v>24</v>
      </c>
      <c r="K424" s="20" t="n">
        <v>29</v>
      </c>
      <c r="L424" s="21" t="n">
        <v>44</v>
      </c>
      <c r="M424" s="22" t="n">
        <v>16</v>
      </c>
      <c r="N424" s="15" t="n">
        <f aca="false">SUMPRODUCT(COUNTIF(G424:L424,번호조회!$B$4:$B$9))</f>
        <v>0</v>
      </c>
    </row>
    <row r="425" customFormat="false" ht="16.5" hidden="false" customHeight="true" outlineLevel="0" collapsed="false">
      <c r="E425" s="1" t="n">
        <f aca="false">$E$13-($F$13-F425)*7</f>
        <v>43330</v>
      </c>
      <c r="F425" s="12" t="n">
        <v>820</v>
      </c>
      <c r="G425" s="16" t="n">
        <v>10</v>
      </c>
      <c r="H425" s="17" t="n">
        <v>21</v>
      </c>
      <c r="I425" s="18" t="n">
        <v>22</v>
      </c>
      <c r="J425" s="19" t="n">
        <v>30</v>
      </c>
      <c r="K425" s="20" t="n">
        <v>35</v>
      </c>
      <c r="L425" s="21" t="n">
        <v>42</v>
      </c>
      <c r="M425" s="22" t="n">
        <v>6</v>
      </c>
      <c r="N425" s="15" t="n">
        <f aca="false">SUMPRODUCT(COUNTIF(G425:L425,번호조회!$B$4:$B$9))</f>
        <v>0</v>
      </c>
    </row>
    <row r="426" customFormat="false" ht="16.5" hidden="false" customHeight="true" outlineLevel="0" collapsed="false">
      <c r="E426" s="1" t="n">
        <f aca="false">$E$13-($F$13-F426)*7</f>
        <v>43323</v>
      </c>
      <c r="F426" s="12" t="n">
        <v>819</v>
      </c>
      <c r="G426" s="16" t="n">
        <v>16</v>
      </c>
      <c r="H426" s="17" t="n">
        <v>25</v>
      </c>
      <c r="I426" s="18" t="n">
        <v>33</v>
      </c>
      <c r="J426" s="19" t="n">
        <v>38</v>
      </c>
      <c r="K426" s="20" t="n">
        <v>40</v>
      </c>
      <c r="L426" s="21" t="n">
        <v>45</v>
      </c>
      <c r="M426" s="22" t="n">
        <v>15</v>
      </c>
      <c r="N426" s="15" t="n">
        <f aca="false">SUMPRODUCT(COUNTIF(G426:L426,번호조회!$B$4:$B$9))</f>
        <v>0</v>
      </c>
    </row>
    <row r="427" customFormat="false" ht="16.5" hidden="false" customHeight="true" outlineLevel="0" collapsed="false">
      <c r="E427" s="1" t="n">
        <f aca="false">$E$13-($F$13-F427)*7</f>
        <v>43316</v>
      </c>
      <c r="F427" s="12" t="n">
        <v>818</v>
      </c>
      <c r="G427" s="16" t="n">
        <v>14</v>
      </c>
      <c r="H427" s="17" t="n">
        <v>15</v>
      </c>
      <c r="I427" s="18" t="n">
        <v>25</v>
      </c>
      <c r="J427" s="19" t="n">
        <v>28</v>
      </c>
      <c r="K427" s="20" t="n">
        <v>29</v>
      </c>
      <c r="L427" s="21" t="n">
        <v>30</v>
      </c>
      <c r="M427" s="22" t="n">
        <v>3</v>
      </c>
      <c r="N427" s="15" t="n">
        <f aca="false">SUMPRODUCT(COUNTIF(G427:L427,번호조회!$B$4:$B$9))</f>
        <v>0</v>
      </c>
    </row>
    <row r="428" customFormat="false" ht="16.5" hidden="false" customHeight="true" outlineLevel="0" collapsed="false">
      <c r="E428" s="1" t="n">
        <f aca="false">$E$13-($F$13-F428)*7</f>
        <v>43309</v>
      </c>
      <c r="F428" s="12" t="n">
        <v>817</v>
      </c>
      <c r="G428" s="16" t="n">
        <v>3</v>
      </c>
      <c r="H428" s="17" t="n">
        <v>9</v>
      </c>
      <c r="I428" s="18" t="n">
        <v>12</v>
      </c>
      <c r="J428" s="19" t="n">
        <v>13</v>
      </c>
      <c r="K428" s="20" t="n">
        <v>25</v>
      </c>
      <c r="L428" s="21" t="n">
        <v>43</v>
      </c>
      <c r="M428" s="22" t="n">
        <v>34</v>
      </c>
      <c r="N428" s="15" t="n">
        <f aca="false">SUMPRODUCT(COUNTIF(G428:L428,번호조회!$B$4:$B$9))</f>
        <v>0</v>
      </c>
    </row>
    <row r="429" customFormat="false" ht="16.5" hidden="false" customHeight="true" outlineLevel="0" collapsed="false">
      <c r="E429" s="1" t="n">
        <f aca="false">$E$13-($F$13-F429)*7</f>
        <v>43302</v>
      </c>
      <c r="F429" s="12" t="n">
        <v>816</v>
      </c>
      <c r="G429" s="16" t="n">
        <v>12</v>
      </c>
      <c r="H429" s="17" t="n">
        <v>18</v>
      </c>
      <c r="I429" s="18" t="n">
        <v>19</v>
      </c>
      <c r="J429" s="19" t="n">
        <v>29</v>
      </c>
      <c r="K429" s="20" t="n">
        <v>31</v>
      </c>
      <c r="L429" s="21" t="n">
        <v>39</v>
      </c>
      <c r="M429" s="22" t="n">
        <v>7</v>
      </c>
      <c r="N429" s="15" t="n">
        <f aca="false">SUMPRODUCT(COUNTIF(G429:L429,번호조회!$B$4:$B$9))</f>
        <v>0</v>
      </c>
    </row>
    <row r="430" customFormat="false" ht="16.5" hidden="false" customHeight="true" outlineLevel="0" collapsed="false">
      <c r="E430" s="1" t="n">
        <f aca="false">$E$13-($F$13-F430)*7</f>
        <v>43295</v>
      </c>
      <c r="F430" s="12" t="n">
        <v>815</v>
      </c>
      <c r="G430" s="16" t="n">
        <v>17</v>
      </c>
      <c r="H430" s="17" t="n">
        <v>21</v>
      </c>
      <c r="I430" s="18" t="n">
        <v>25</v>
      </c>
      <c r="J430" s="19" t="n">
        <v>26</v>
      </c>
      <c r="K430" s="20" t="n">
        <v>27</v>
      </c>
      <c r="L430" s="21" t="n">
        <v>36</v>
      </c>
      <c r="M430" s="22" t="n">
        <v>4</v>
      </c>
      <c r="N430" s="15" t="n">
        <f aca="false">SUMPRODUCT(COUNTIF(G430:L430,번호조회!$B$4:$B$9))</f>
        <v>0</v>
      </c>
    </row>
    <row r="431" customFormat="false" ht="16.5" hidden="false" customHeight="true" outlineLevel="0" collapsed="false">
      <c r="E431" s="1" t="n">
        <f aca="false">$E$13-($F$13-F431)*7</f>
        <v>43288</v>
      </c>
      <c r="F431" s="12" t="n">
        <v>814</v>
      </c>
      <c r="G431" s="16" t="n">
        <v>2</v>
      </c>
      <c r="H431" s="17" t="n">
        <v>21</v>
      </c>
      <c r="I431" s="18" t="n">
        <v>28</v>
      </c>
      <c r="J431" s="19" t="n">
        <v>38</v>
      </c>
      <c r="K431" s="20" t="n">
        <v>42</v>
      </c>
      <c r="L431" s="21" t="n">
        <v>45</v>
      </c>
      <c r="M431" s="22" t="n">
        <v>30</v>
      </c>
      <c r="N431" s="15" t="n">
        <f aca="false">SUMPRODUCT(COUNTIF(G431:L431,번호조회!$B$4:$B$9))</f>
        <v>0</v>
      </c>
    </row>
    <row r="432" customFormat="false" ht="16.5" hidden="false" customHeight="true" outlineLevel="0" collapsed="false">
      <c r="E432" s="1" t="n">
        <f aca="false">$E$13-($F$13-F432)*7</f>
        <v>43281</v>
      </c>
      <c r="F432" s="12" t="n">
        <v>813</v>
      </c>
      <c r="G432" s="16" t="n">
        <v>11</v>
      </c>
      <c r="H432" s="17" t="n">
        <v>30</v>
      </c>
      <c r="I432" s="18" t="n">
        <v>34</v>
      </c>
      <c r="J432" s="19" t="n">
        <v>35</v>
      </c>
      <c r="K432" s="20" t="n">
        <v>42</v>
      </c>
      <c r="L432" s="21" t="n">
        <v>44</v>
      </c>
      <c r="M432" s="22" t="n">
        <v>27</v>
      </c>
      <c r="N432" s="15" t="n">
        <f aca="false">SUMPRODUCT(COUNTIF(G432:L432,번호조회!$B$4:$B$9))</f>
        <v>0</v>
      </c>
    </row>
    <row r="433" customFormat="false" ht="16.5" hidden="false" customHeight="true" outlineLevel="0" collapsed="false">
      <c r="E433" s="1" t="n">
        <f aca="false">$E$13-($F$13-F433)*7</f>
        <v>43274</v>
      </c>
      <c r="F433" s="12" t="n">
        <v>812</v>
      </c>
      <c r="G433" s="16" t="n">
        <v>1</v>
      </c>
      <c r="H433" s="17" t="n">
        <v>3</v>
      </c>
      <c r="I433" s="18" t="n">
        <v>12</v>
      </c>
      <c r="J433" s="19" t="n">
        <v>14</v>
      </c>
      <c r="K433" s="20" t="n">
        <v>16</v>
      </c>
      <c r="L433" s="21" t="n">
        <v>43</v>
      </c>
      <c r="M433" s="22" t="n">
        <v>10</v>
      </c>
      <c r="N433" s="15" t="n">
        <f aca="false">SUMPRODUCT(COUNTIF(G433:L433,번호조회!$B$4:$B$9))</f>
        <v>0</v>
      </c>
    </row>
    <row r="434" customFormat="false" ht="16.5" hidden="false" customHeight="true" outlineLevel="0" collapsed="false">
      <c r="E434" s="1" t="n">
        <f aca="false">$E$13-($F$13-F434)*7</f>
        <v>43267</v>
      </c>
      <c r="F434" s="12" t="n">
        <v>811</v>
      </c>
      <c r="G434" s="16" t="n">
        <v>8</v>
      </c>
      <c r="H434" s="17" t="n">
        <v>11</v>
      </c>
      <c r="I434" s="18" t="n">
        <v>19</v>
      </c>
      <c r="J434" s="19" t="n">
        <v>21</v>
      </c>
      <c r="K434" s="20" t="n">
        <v>36</v>
      </c>
      <c r="L434" s="21" t="n">
        <v>45</v>
      </c>
      <c r="M434" s="22" t="n">
        <v>25</v>
      </c>
      <c r="N434" s="15" t="n">
        <f aca="false">SUMPRODUCT(COUNTIF(G434:L434,번호조회!$B$4:$B$9))</f>
        <v>0</v>
      </c>
    </row>
    <row r="435" customFormat="false" ht="16.5" hidden="false" customHeight="true" outlineLevel="0" collapsed="false">
      <c r="E435" s="1" t="n">
        <f aca="false">$E$13-($F$13-F435)*7</f>
        <v>43260</v>
      </c>
      <c r="F435" s="12" t="n">
        <v>810</v>
      </c>
      <c r="G435" s="16" t="n">
        <v>5</v>
      </c>
      <c r="H435" s="17" t="n">
        <v>10</v>
      </c>
      <c r="I435" s="18" t="n">
        <v>13</v>
      </c>
      <c r="J435" s="19" t="n">
        <v>21</v>
      </c>
      <c r="K435" s="20" t="n">
        <v>39</v>
      </c>
      <c r="L435" s="21" t="n">
        <v>43</v>
      </c>
      <c r="M435" s="22" t="n">
        <v>11</v>
      </c>
      <c r="N435" s="15" t="n">
        <f aca="false">SUMPRODUCT(COUNTIF(G435:L435,번호조회!$B$4:$B$9))</f>
        <v>0</v>
      </c>
    </row>
    <row r="436" customFormat="false" ht="16.5" hidden="false" customHeight="true" outlineLevel="0" collapsed="false">
      <c r="E436" s="1" t="n">
        <f aca="false">$E$13-($F$13-F436)*7</f>
        <v>43253</v>
      </c>
      <c r="F436" s="12" t="n">
        <v>809</v>
      </c>
      <c r="G436" s="16" t="n">
        <v>6</v>
      </c>
      <c r="H436" s="17" t="n">
        <v>11</v>
      </c>
      <c r="I436" s="18" t="n">
        <v>15</v>
      </c>
      <c r="J436" s="19" t="n">
        <v>17</v>
      </c>
      <c r="K436" s="20" t="n">
        <v>23</v>
      </c>
      <c r="L436" s="21" t="n">
        <v>40</v>
      </c>
      <c r="M436" s="22" t="n">
        <v>39</v>
      </c>
      <c r="N436" s="15" t="n">
        <f aca="false">SUMPRODUCT(COUNTIF(G436:L436,번호조회!$B$4:$B$9))</f>
        <v>0</v>
      </c>
    </row>
    <row r="437" customFormat="false" ht="16.5" hidden="false" customHeight="true" outlineLevel="0" collapsed="false">
      <c r="E437" s="1" t="n">
        <f aca="false">$E$13-($F$13-F437)*7</f>
        <v>43246</v>
      </c>
      <c r="F437" s="12" t="n">
        <v>808</v>
      </c>
      <c r="G437" s="16" t="n">
        <v>15</v>
      </c>
      <c r="H437" s="17" t="n">
        <v>21</v>
      </c>
      <c r="I437" s="18" t="n">
        <v>31</v>
      </c>
      <c r="J437" s="19" t="n">
        <v>32</v>
      </c>
      <c r="K437" s="20" t="n">
        <v>41</v>
      </c>
      <c r="L437" s="21" t="n">
        <v>43</v>
      </c>
      <c r="M437" s="22" t="n">
        <v>24</v>
      </c>
      <c r="N437" s="15" t="n">
        <f aca="false">SUMPRODUCT(COUNTIF(G437:L437,번호조회!$B$4:$B$9))</f>
        <v>0</v>
      </c>
    </row>
    <row r="438" customFormat="false" ht="16.5" hidden="false" customHeight="true" outlineLevel="0" collapsed="false">
      <c r="E438" s="1" t="n">
        <f aca="false">$E$13-($F$13-F438)*7</f>
        <v>43239</v>
      </c>
      <c r="F438" s="12" t="n">
        <v>807</v>
      </c>
      <c r="G438" s="16" t="n">
        <v>6</v>
      </c>
      <c r="H438" s="17" t="n">
        <v>10</v>
      </c>
      <c r="I438" s="18" t="n">
        <v>18</v>
      </c>
      <c r="J438" s="19" t="n">
        <v>25</v>
      </c>
      <c r="K438" s="20" t="n">
        <v>34</v>
      </c>
      <c r="L438" s="21" t="n">
        <v>35</v>
      </c>
      <c r="M438" s="22" t="n">
        <v>33</v>
      </c>
      <c r="N438" s="15" t="n">
        <f aca="false">SUMPRODUCT(COUNTIF(G438:L438,번호조회!$B$4:$B$9))</f>
        <v>0</v>
      </c>
    </row>
    <row r="439" customFormat="false" ht="16.5" hidden="false" customHeight="true" outlineLevel="0" collapsed="false">
      <c r="E439" s="1" t="n">
        <f aca="false">$E$13-($F$13-F439)*7</f>
        <v>43232</v>
      </c>
      <c r="F439" s="12" t="n">
        <v>806</v>
      </c>
      <c r="G439" s="16" t="n">
        <v>14</v>
      </c>
      <c r="H439" s="17" t="n">
        <v>20</v>
      </c>
      <c r="I439" s="18" t="n">
        <v>23</v>
      </c>
      <c r="J439" s="19" t="n">
        <v>31</v>
      </c>
      <c r="K439" s="20" t="n">
        <v>37</v>
      </c>
      <c r="L439" s="21" t="n">
        <v>38</v>
      </c>
      <c r="M439" s="22" t="n">
        <v>27</v>
      </c>
      <c r="N439" s="15" t="n">
        <f aca="false">SUMPRODUCT(COUNTIF(G439:L439,번호조회!$B$4:$B$9))</f>
        <v>0</v>
      </c>
    </row>
    <row r="440" customFormat="false" ht="16.5" hidden="false" customHeight="true" outlineLevel="0" collapsed="false">
      <c r="E440" s="1" t="n">
        <f aca="false">$E$13-($F$13-F440)*7</f>
        <v>43225</v>
      </c>
      <c r="F440" s="12" t="n">
        <v>805</v>
      </c>
      <c r="G440" s="16" t="n">
        <v>3</v>
      </c>
      <c r="H440" s="17" t="n">
        <v>12</v>
      </c>
      <c r="I440" s="18" t="n">
        <v>13</v>
      </c>
      <c r="J440" s="19" t="n">
        <v>18</v>
      </c>
      <c r="K440" s="20" t="n">
        <v>31</v>
      </c>
      <c r="L440" s="21" t="n">
        <v>32</v>
      </c>
      <c r="M440" s="22" t="n">
        <v>42</v>
      </c>
      <c r="N440" s="15" t="n">
        <f aca="false">SUMPRODUCT(COUNTIF(G440:L440,번호조회!$B$4:$B$9))</f>
        <v>0</v>
      </c>
    </row>
    <row r="441" customFormat="false" ht="16.5" hidden="false" customHeight="true" outlineLevel="0" collapsed="false">
      <c r="E441" s="1" t="n">
        <f aca="false">$E$13-($F$13-F441)*7</f>
        <v>43218</v>
      </c>
      <c r="F441" s="12" t="n">
        <v>804</v>
      </c>
      <c r="G441" s="16" t="n">
        <v>1</v>
      </c>
      <c r="H441" s="17" t="n">
        <v>10</v>
      </c>
      <c r="I441" s="18" t="n">
        <v>13</v>
      </c>
      <c r="J441" s="19" t="n">
        <v>26</v>
      </c>
      <c r="K441" s="20" t="n">
        <v>32</v>
      </c>
      <c r="L441" s="21" t="n">
        <v>36</v>
      </c>
      <c r="M441" s="22" t="n">
        <v>9</v>
      </c>
      <c r="N441" s="15" t="n">
        <f aca="false">SUMPRODUCT(COUNTIF(G441:L441,번호조회!$B$4:$B$9))</f>
        <v>0</v>
      </c>
    </row>
    <row r="442" customFormat="false" ht="16.5" hidden="false" customHeight="true" outlineLevel="0" collapsed="false">
      <c r="E442" s="1" t="n">
        <f aca="false">$E$13-($F$13-F442)*7</f>
        <v>43211</v>
      </c>
      <c r="F442" s="12" t="n">
        <v>803</v>
      </c>
      <c r="G442" s="16" t="n">
        <v>5</v>
      </c>
      <c r="H442" s="17" t="n">
        <v>9</v>
      </c>
      <c r="I442" s="18" t="n">
        <v>14</v>
      </c>
      <c r="J442" s="19" t="n">
        <v>26</v>
      </c>
      <c r="K442" s="20" t="n">
        <v>30</v>
      </c>
      <c r="L442" s="21" t="n">
        <v>43</v>
      </c>
      <c r="M442" s="22" t="n">
        <v>2</v>
      </c>
      <c r="N442" s="15" t="n">
        <f aca="false">SUMPRODUCT(COUNTIF(G442:L442,번호조회!$B$4:$B$9))</f>
        <v>0</v>
      </c>
    </row>
    <row r="443" customFormat="false" ht="16.5" hidden="false" customHeight="true" outlineLevel="0" collapsed="false">
      <c r="E443" s="1" t="n">
        <f aca="false">$E$13-($F$13-F443)*7</f>
        <v>43204</v>
      </c>
      <c r="F443" s="12" t="n">
        <v>802</v>
      </c>
      <c r="G443" s="16" t="n">
        <v>10</v>
      </c>
      <c r="H443" s="17" t="n">
        <v>11</v>
      </c>
      <c r="I443" s="18" t="n">
        <v>12</v>
      </c>
      <c r="J443" s="19" t="n">
        <v>18</v>
      </c>
      <c r="K443" s="20" t="n">
        <v>24</v>
      </c>
      <c r="L443" s="21" t="n">
        <v>42</v>
      </c>
      <c r="M443" s="22" t="n">
        <v>27</v>
      </c>
      <c r="N443" s="15" t="n">
        <f aca="false">SUMPRODUCT(COUNTIF(G443:L443,번호조회!$B$4:$B$9))</f>
        <v>0</v>
      </c>
    </row>
    <row r="444" customFormat="false" ht="16.5" hidden="false" customHeight="true" outlineLevel="0" collapsed="false">
      <c r="E444" s="1" t="n">
        <f aca="false">$E$13-($F$13-F444)*7</f>
        <v>43197</v>
      </c>
      <c r="F444" s="12" t="n">
        <v>801</v>
      </c>
      <c r="G444" s="16" t="n">
        <v>17</v>
      </c>
      <c r="H444" s="17" t="n">
        <v>25</v>
      </c>
      <c r="I444" s="18" t="n">
        <v>28</v>
      </c>
      <c r="J444" s="19" t="n">
        <v>37</v>
      </c>
      <c r="K444" s="20" t="n">
        <v>43</v>
      </c>
      <c r="L444" s="21" t="n">
        <v>44</v>
      </c>
      <c r="M444" s="22" t="n">
        <v>2</v>
      </c>
      <c r="N444" s="15" t="n">
        <f aca="false">SUMPRODUCT(COUNTIF(G444:L444,번호조회!$B$4:$B$9))</f>
        <v>0</v>
      </c>
    </row>
    <row r="445" customFormat="false" ht="16.5" hidden="false" customHeight="true" outlineLevel="0" collapsed="false">
      <c r="E445" s="1" t="n">
        <f aca="false">$E$13-($F$13-F445)*7</f>
        <v>43190</v>
      </c>
      <c r="F445" s="12" t="n">
        <v>800</v>
      </c>
      <c r="G445" s="16" t="n">
        <v>1</v>
      </c>
      <c r="H445" s="17" t="n">
        <v>4</v>
      </c>
      <c r="I445" s="18" t="n">
        <v>10</v>
      </c>
      <c r="J445" s="19" t="n">
        <v>12</v>
      </c>
      <c r="K445" s="20" t="n">
        <v>28</v>
      </c>
      <c r="L445" s="21" t="n">
        <v>45</v>
      </c>
      <c r="M445" s="22" t="n">
        <v>26</v>
      </c>
      <c r="N445" s="15" t="n">
        <f aca="false">SUMPRODUCT(COUNTIF(G445:L445,번호조회!$B$4:$B$9))</f>
        <v>0</v>
      </c>
    </row>
    <row r="446" customFormat="false" ht="16.5" hidden="false" customHeight="true" outlineLevel="0" collapsed="false">
      <c r="E446" s="1" t="n">
        <f aca="false">$E$13-($F$13-F446)*7</f>
        <v>43183</v>
      </c>
      <c r="F446" s="12" t="n">
        <v>799</v>
      </c>
      <c r="G446" s="16" t="n">
        <v>12</v>
      </c>
      <c r="H446" s="17" t="n">
        <v>17</v>
      </c>
      <c r="I446" s="18" t="n">
        <v>23</v>
      </c>
      <c r="J446" s="19" t="n">
        <v>34</v>
      </c>
      <c r="K446" s="20" t="n">
        <v>42</v>
      </c>
      <c r="L446" s="21" t="n">
        <v>45</v>
      </c>
      <c r="M446" s="22" t="n">
        <v>33</v>
      </c>
      <c r="N446" s="15" t="n">
        <f aca="false">SUMPRODUCT(COUNTIF(G446:L446,번호조회!$B$4:$B$9))</f>
        <v>0</v>
      </c>
    </row>
    <row r="447" customFormat="false" ht="16.5" hidden="false" customHeight="true" outlineLevel="0" collapsed="false">
      <c r="E447" s="1" t="n">
        <f aca="false">$E$13-($F$13-F447)*7</f>
        <v>43176</v>
      </c>
      <c r="F447" s="12" t="n">
        <v>798</v>
      </c>
      <c r="G447" s="16" t="n">
        <v>2</v>
      </c>
      <c r="H447" s="17" t="n">
        <v>10</v>
      </c>
      <c r="I447" s="18" t="n">
        <v>14</v>
      </c>
      <c r="J447" s="19" t="n">
        <v>22</v>
      </c>
      <c r="K447" s="20" t="n">
        <v>32</v>
      </c>
      <c r="L447" s="21" t="n">
        <v>36</v>
      </c>
      <c r="M447" s="22" t="n">
        <v>41</v>
      </c>
      <c r="N447" s="15" t="n">
        <f aca="false">SUMPRODUCT(COUNTIF(G447:L447,번호조회!$B$4:$B$9))</f>
        <v>0</v>
      </c>
    </row>
    <row r="448" customFormat="false" ht="16.5" hidden="false" customHeight="true" outlineLevel="0" collapsed="false">
      <c r="E448" s="1" t="n">
        <f aca="false">$E$13-($F$13-F448)*7</f>
        <v>43169</v>
      </c>
      <c r="F448" s="12" t="n">
        <v>797</v>
      </c>
      <c r="G448" s="16" t="n">
        <v>5</v>
      </c>
      <c r="H448" s="17" t="n">
        <v>22</v>
      </c>
      <c r="I448" s="18" t="n">
        <v>31</v>
      </c>
      <c r="J448" s="19" t="n">
        <v>32</v>
      </c>
      <c r="K448" s="20" t="n">
        <v>39</v>
      </c>
      <c r="L448" s="21" t="n">
        <v>45</v>
      </c>
      <c r="M448" s="22" t="n">
        <v>36</v>
      </c>
      <c r="N448" s="15" t="n">
        <f aca="false">SUMPRODUCT(COUNTIF(G448:L448,번호조회!$B$4:$B$9))</f>
        <v>0</v>
      </c>
    </row>
    <row r="449" customFormat="false" ht="16.5" hidden="false" customHeight="true" outlineLevel="0" collapsed="false">
      <c r="E449" s="1" t="n">
        <f aca="false">$E$13-($F$13-F449)*7</f>
        <v>43162</v>
      </c>
      <c r="F449" s="12" t="n">
        <v>796</v>
      </c>
      <c r="G449" s="16" t="n">
        <v>1</v>
      </c>
      <c r="H449" s="17" t="n">
        <v>21</v>
      </c>
      <c r="I449" s="18" t="n">
        <v>26</v>
      </c>
      <c r="J449" s="19" t="n">
        <v>36</v>
      </c>
      <c r="K449" s="20" t="n">
        <v>40</v>
      </c>
      <c r="L449" s="21" t="n">
        <v>41</v>
      </c>
      <c r="M449" s="22" t="n">
        <v>5</v>
      </c>
      <c r="N449" s="15" t="n">
        <f aca="false">SUMPRODUCT(COUNTIF(G449:L449,번호조회!$B$4:$B$9))</f>
        <v>0</v>
      </c>
    </row>
    <row r="450" customFormat="false" ht="16.5" hidden="false" customHeight="true" outlineLevel="0" collapsed="false">
      <c r="E450" s="1" t="n">
        <f aca="false">$E$13-($F$13-F450)*7</f>
        <v>43155</v>
      </c>
      <c r="F450" s="12" t="n">
        <v>795</v>
      </c>
      <c r="G450" s="16" t="n">
        <v>3</v>
      </c>
      <c r="H450" s="17" t="n">
        <v>10</v>
      </c>
      <c r="I450" s="18" t="n">
        <v>13</v>
      </c>
      <c r="J450" s="19" t="n">
        <v>26</v>
      </c>
      <c r="K450" s="20" t="n">
        <v>34</v>
      </c>
      <c r="L450" s="21" t="n">
        <v>38</v>
      </c>
      <c r="M450" s="22" t="n">
        <v>36</v>
      </c>
      <c r="N450" s="15" t="n">
        <f aca="false">SUMPRODUCT(COUNTIF(G450:L450,번호조회!$B$4:$B$9))</f>
        <v>0</v>
      </c>
    </row>
    <row r="451" customFormat="false" ht="16.5" hidden="false" customHeight="true" outlineLevel="0" collapsed="false">
      <c r="E451" s="1" t="n">
        <f aca="false">$E$13-($F$13-F451)*7</f>
        <v>43148</v>
      </c>
      <c r="F451" s="12" t="n">
        <v>794</v>
      </c>
      <c r="G451" s="16" t="n">
        <v>6</v>
      </c>
      <c r="H451" s="17" t="n">
        <v>7</v>
      </c>
      <c r="I451" s="18" t="n">
        <v>18</v>
      </c>
      <c r="J451" s="19" t="n">
        <v>19</v>
      </c>
      <c r="K451" s="20" t="n">
        <v>30</v>
      </c>
      <c r="L451" s="21" t="n">
        <v>38</v>
      </c>
      <c r="M451" s="22" t="n">
        <v>13</v>
      </c>
      <c r="N451" s="15" t="n">
        <f aca="false">SUMPRODUCT(COUNTIF(G451:L451,번호조회!$B$4:$B$9))</f>
        <v>0</v>
      </c>
    </row>
    <row r="452" customFormat="false" ht="16.5" hidden="false" customHeight="true" outlineLevel="0" collapsed="false">
      <c r="E452" s="1" t="n">
        <f aca="false">$E$13-($F$13-F452)*7</f>
        <v>43141</v>
      </c>
      <c r="F452" s="12" t="n">
        <v>793</v>
      </c>
      <c r="G452" s="16" t="n">
        <v>10</v>
      </c>
      <c r="H452" s="17" t="n">
        <v>15</v>
      </c>
      <c r="I452" s="18" t="n">
        <v>21</v>
      </c>
      <c r="J452" s="19" t="n">
        <v>35</v>
      </c>
      <c r="K452" s="20" t="n">
        <v>38</v>
      </c>
      <c r="L452" s="21" t="n">
        <v>43</v>
      </c>
      <c r="M452" s="22" t="n">
        <v>31</v>
      </c>
      <c r="N452" s="15" t="n">
        <f aca="false">SUMPRODUCT(COUNTIF(G452:L452,번호조회!$B$4:$B$9))</f>
        <v>0</v>
      </c>
    </row>
    <row r="453" customFormat="false" ht="16.5" hidden="false" customHeight="true" outlineLevel="0" collapsed="false">
      <c r="E453" s="1" t="n">
        <f aca="false">$E$13-($F$13-F453)*7</f>
        <v>43134</v>
      </c>
      <c r="F453" s="12" t="n">
        <v>792</v>
      </c>
      <c r="G453" s="16" t="n">
        <v>2</v>
      </c>
      <c r="H453" s="17" t="n">
        <v>7</v>
      </c>
      <c r="I453" s="18" t="n">
        <v>19</v>
      </c>
      <c r="J453" s="19" t="n">
        <v>25</v>
      </c>
      <c r="K453" s="20" t="n">
        <v>29</v>
      </c>
      <c r="L453" s="21" t="n">
        <v>36</v>
      </c>
      <c r="M453" s="22" t="n">
        <v>16</v>
      </c>
      <c r="N453" s="15" t="n">
        <f aca="false">SUMPRODUCT(COUNTIF(G453:L453,번호조회!$B$4:$B$9))</f>
        <v>0</v>
      </c>
    </row>
    <row r="454" customFormat="false" ht="16.5" hidden="false" customHeight="true" outlineLevel="0" collapsed="false">
      <c r="E454" s="1" t="n">
        <f aca="false">$E$13-($F$13-F454)*7</f>
        <v>43127</v>
      </c>
      <c r="F454" s="12" t="n">
        <v>791</v>
      </c>
      <c r="G454" s="16" t="n">
        <v>2</v>
      </c>
      <c r="H454" s="17" t="n">
        <v>10</v>
      </c>
      <c r="I454" s="18" t="n">
        <v>12</v>
      </c>
      <c r="J454" s="19" t="n">
        <v>31</v>
      </c>
      <c r="K454" s="20" t="n">
        <v>33</v>
      </c>
      <c r="L454" s="21" t="n">
        <v>42</v>
      </c>
      <c r="M454" s="22" t="n">
        <v>32</v>
      </c>
      <c r="N454" s="15" t="n">
        <f aca="false">SUMPRODUCT(COUNTIF(G454:L454,번호조회!$B$4:$B$9))</f>
        <v>0</v>
      </c>
    </row>
    <row r="455" customFormat="false" ht="16.5" hidden="false" customHeight="true" outlineLevel="0" collapsed="false">
      <c r="E455" s="1" t="n">
        <f aca="false">$E$13-($F$13-F455)*7</f>
        <v>43120</v>
      </c>
      <c r="F455" s="12" t="n">
        <v>790</v>
      </c>
      <c r="G455" s="16" t="n">
        <v>3</v>
      </c>
      <c r="H455" s="17" t="n">
        <v>8</v>
      </c>
      <c r="I455" s="18" t="n">
        <v>19</v>
      </c>
      <c r="J455" s="19" t="n">
        <v>27</v>
      </c>
      <c r="K455" s="20" t="n">
        <v>30</v>
      </c>
      <c r="L455" s="21" t="n">
        <v>41</v>
      </c>
      <c r="M455" s="22" t="n">
        <v>12</v>
      </c>
      <c r="N455" s="15" t="n">
        <f aca="false">SUMPRODUCT(COUNTIF(G455:L455,번호조회!$B$4:$B$9))</f>
        <v>0</v>
      </c>
    </row>
    <row r="456" customFormat="false" ht="16.5" hidden="false" customHeight="true" outlineLevel="0" collapsed="false">
      <c r="E456" s="1" t="n">
        <f aca="false">$E$13-($F$13-F456)*7</f>
        <v>43113</v>
      </c>
      <c r="F456" s="12" t="n">
        <v>789</v>
      </c>
      <c r="G456" s="16" t="n">
        <v>2</v>
      </c>
      <c r="H456" s="17" t="n">
        <v>6</v>
      </c>
      <c r="I456" s="18" t="n">
        <v>7</v>
      </c>
      <c r="J456" s="19" t="n">
        <v>12</v>
      </c>
      <c r="K456" s="20" t="n">
        <v>19</v>
      </c>
      <c r="L456" s="21" t="n">
        <v>45</v>
      </c>
      <c r="M456" s="22" t="n">
        <v>38</v>
      </c>
      <c r="N456" s="15" t="n">
        <f aca="false">SUMPRODUCT(COUNTIF(G456:L456,번호조회!$B$4:$B$9))</f>
        <v>0</v>
      </c>
    </row>
    <row r="457" customFormat="false" ht="16.5" hidden="false" customHeight="true" outlineLevel="0" collapsed="false">
      <c r="E457" s="1" t="n">
        <f aca="false">$E$13-($F$13-F457)*7</f>
        <v>43106</v>
      </c>
      <c r="F457" s="12" t="n">
        <v>788</v>
      </c>
      <c r="G457" s="16" t="n">
        <v>2</v>
      </c>
      <c r="H457" s="17" t="n">
        <v>10</v>
      </c>
      <c r="I457" s="18" t="n">
        <v>11</v>
      </c>
      <c r="J457" s="19" t="n">
        <v>19</v>
      </c>
      <c r="K457" s="20" t="n">
        <v>35</v>
      </c>
      <c r="L457" s="21" t="n">
        <v>39</v>
      </c>
      <c r="M457" s="22" t="n">
        <v>29</v>
      </c>
      <c r="N457" s="15" t="n">
        <f aca="false">SUMPRODUCT(COUNTIF(G457:L457,번호조회!$B$4:$B$9))</f>
        <v>0</v>
      </c>
    </row>
    <row r="458" customFormat="false" ht="16.5" hidden="false" customHeight="true" outlineLevel="0" collapsed="false">
      <c r="E458" s="1" t="n">
        <f aca="false">$E$13-($F$13-F458)*7</f>
        <v>43099</v>
      </c>
      <c r="F458" s="12" t="n">
        <v>787</v>
      </c>
      <c r="G458" s="16" t="n">
        <v>5</v>
      </c>
      <c r="H458" s="17" t="n">
        <v>6</v>
      </c>
      <c r="I458" s="18" t="n">
        <v>13</v>
      </c>
      <c r="J458" s="19" t="n">
        <v>16</v>
      </c>
      <c r="K458" s="20" t="n">
        <v>27</v>
      </c>
      <c r="L458" s="21" t="n">
        <v>28</v>
      </c>
      <c r="M458" s="22" t="n">
        <v>9</v>
      </c>
      <c r="N458" s="15" t="n">
        <f aca="false">SUMPRODUCT(COUNTIF(G458:L458,번호조회!$B$4:$B$9))</f>
        <v>0</v>
      </c>
    </row>
    <row r="459" customFormat="false" ht="16.5" hidden="false" customHeight="true" outlineLevel="0" collapsed="false">
      <c r="E459" s="1" t="n">
        <f aca="false">$E$13-($F$13-F459)*7</f>
        <v>43092</v>
      </c>
      <c r="F459" s="12" t="n">
        <v>786</v>
      </c>
      <c r="G459" s="16" t="n">
        <v>12</v>
      </c>
      <c r="H459" s="17" t="n">
        <v>15</v>
      </c>
      <c r="I459" s="18" t="n">
        <v>16</v>
      </c>
      <c r="J459" s="19" t="n">
        <v>20</v>
      </c>
      <c r="K459" s="20" t="n">
        <v>24</v>
      </c>
      <c r="L459" s="21" t="n">
        <v>30</v>
      </c>
      <c r="M459" s="22" t="n">
        <v>38</v>
      </c>
      <c r="N459" s="15" t="n">
        <f aca="false">SUMPRODUCT(COUNTIF(G459:L459,번호조회!$B$4:$B$9))</f>
        <v>0</v>
      </c>
    </row>
    <row r="460" customFormat="false" ht="16.5" hidden="false" customHeight="true" outlineLevel="0" collapsed="false">
      <c r="E460" s="1" t="n">
        <f aca="false">$E$13-($F$13-F460)*7</f>
        <v>43085</v>
      </c>
      <c r="F460" s="12" t="n">
        <v>785</v>
      </c>
      <c r="G460" s="16" t="n">
        <v>4</v>
      </c>
      <c r="H460" s="17" t="n">
        <v>6</v>
      </c>
      <c r="I460" s="18" t="n">
        <v>15</v>
      </c>
      <c r="J460" s="19" t="n">
        <v>25</v>
      </c>
      <c r="K460" s="20" t="n">
        <v>26</v>
      </c>
      <c r="L460" s="21" t="n">
        <v>33</v>
      </c>
      <c r="M460" s="22" t="n">
        <v>40</v>
      </c>
      <c r="N460" s="15" t="n">
        <f aca="false">SUMPRODUCT(COUNTIF(G460:L460,번호조회!$B$4:$B$9))</f>
        <v>0</v>
      </c>
    </row>
    <row r="461" customFormat="false" ht="16.5" hidden="false" customHeight="true" outlineLevel="0" collapsed="false">
      <c r="E461" s="1" t="n">
        <f aca="false">$E$13-($F$13-F461)*7</f>
        <v>43078</v>
      </c>
      <c r="F461" s="12" t="n">
        <v>784</v>
      </c>
      <c r="G461" s="16" t="n">
        <v>3</v>
      </c>
      <c r="H461" s="17" t="n">
        <v>10</v>
      </c>
      <c r="I461" s="18" t="n">
        <v>23</v>
      </c>
      <c r="J461" s="19" t="n">
        <v>24</v>
      </c>
      <c r="K461" s="20" t="n">
        <v>31</v>
      </c>
      <c r="L461" s="21" t="n">
        <v>39</v>
      </c>
      <c r="M461" s="22" t="n">
        <v>22</v>
      </c>
      <c r="N461" s="15" t="n">
        <f aca="false">SUMPRODUCT(COUNTIF(G461:L461,번호조회!$B$4:$B$9))</f>
        <v>0</v>
      </c>
    </row>
    <row r="462" customFormat="false" ht="16.5" hidden="false" customHeight="true" outlineLevel="0" collapsed="false">
      <c r="E462" s="1" t="n">
        <f aca="false">$E$13-($F$13-F462)*7</f>
        <v>43071</v>
      </c>
      <c r="F462" s="12" t="n">
        <v>783</v>
      </c>
      <c r="G462" s="16" t="n">
        <v>14</v>
      </c>
      <c r="H462" s="17" t="n">
        <v>15</v>
      </c>
      <c r="I462" s="18" t="n">
        <v>16</v>
      </c>
      <c r="J462" s="19" t="n">
        <v>17</v>
      </c>
      <c r="K462" s="20" t="n">
        <v>38</v>
      </c>
      <c r="L462" s="21" t="n">
        <v>45</v>
      </c>
      <c r="M462" s="22" t="n">
        <v>36</v>
      </c>
      <c r="N462" s="15" t="n">
        <f aca="false">SUMPRODUCT(COUNTIF(G462:L462,번호조회!$B$4:$B$9))</f>
        <v>0</v>
      </c>
    </row>
    <row r="463" customFormat="false" ht="16.5" hidden="false" customHeight="true" outlineLevel="0" collapsed="false">
      <c r="E463" s="1" t="n">
        <f aca="false">$E$13-($F$13-F463)*7</f>
        <v>43064</v>
      </c>
      <c r="F463" s="12" t="n">
        <v>782</v>
      </c>
      <c r="G463" s="16" t="n">
        <v>6</v>
      </c>
      <c r="H463" s="17" t="n">
        <v>18</v>
      </c>
      <c r="I463" s="18" t="n">
        <v>31</v>
      </c>
      <c r="J463" s="19" t="n">
        <v>34</v>
      </c>
      <c r="K463" s="20" t="n">
        <v>38</v>
      </c>
      <c r="L463" s="21" t="n">
        <v>45</v>
      </c>
      <c r="M463" s="22" t="n">
        <v>20</v>
      </c>
      <c r="N463" s="15" t="n">
        <f aca="false">SUMPRODUCT(COUNTIF(G463:L463,번호조회!$B$4:$B$9))</f>
        <v>0</v>
      </c>
    </row>
    <row r="464" customFormat="false" ht="16.5" hidden="false" customHeight="true" outlineLevel="0" collapsed="false">
      <c r="E464" s="1" t="n">
        <f aca="false">$E$13-($F$13-F464)*7</f>
        <v>43057</v>
      </c>
      <c r="F464" s="12" t="n">
        <v>781</v>
      </c>
      <c r="G464" s="16" t="n">
        <v>11</v>
      </c>
      <c r="H464" s="17" t="n">
        <v>16</v>
      </c>
      <c r="I464" s="18" t="n">
        <v>18</v>
      </c>
      <c r="J464" s="19" t="n">
        <v>19</v>
      </c>
      <c r="K464" s="20" t="n">
        <v>24</v>
      </c>
      <c r="L464" s="21" t="n">
        <v>39</v>
      </c>
      <c r="M464" s="22" t="n">
        <v>43</v>
      </c>
      <c r="N464" s="15" t="n">
        <f aca="false">SUMPRODUCT(COUNTIF(G464:L464,번호조회!$B$4:$B$9))</f>
        <v>0</v>
      </c>
    </row>
    <row r="465" customFormat="false" ht="16.5" hidden="false" customHeight="true" outlineLevel="0" collapsed="false">
      <c r="E465" s="1" t="n">
        <f aca="false">$E$13-($F$13-F465)*7</f>
        <v>43050</v>
      </c>
      <c r="F465" s="12" t="n">
        <v>780</v>
      </c>
      <c r="G465" s="16" t="n">
        <v>15</v>
      </c>
      <c r="H465" s="17" t="n">
        <v>17</v>
      </c>
      <c r="I465" s="18" t="n">
        <v>19</v>
      </c>
      <c r="J465" s="19" t="n">
        <v>21</v>
      </c>
      <c r="K465" s="20" t="n">
        <v>27</v>
      </c>
      <c r="L465" s="21" t="n">
        <v>45</v>
      </c>
      <c r="M465" s="22" t="n">
        <v>16</v>
      </c>
      <c r="N465" s="15" t="n">
        <f aca="false">SUMPRODUCT(COUNTIF(G465:L465,번호조회!$B$4:$B$9))</f>
        <v>0</v>
      </c>
    </row>
    <row r="466" customFormat="false" ht="16.5" hidden="false" customHeight="true" outlineLevel="0" collapsed="false">
      <c r="E466" s="1" t="n">
        <f aca="false">$E$13-($F$13-F466)*7</f>
        <v>43043</v>
      </c>
      <c r="F466" s="12" t="n">
        <v>779</v>
      </c>
      <c r="G466" s="16" t="n">
        <v>6</v>
      </c>
      <c r="H466" s="17" t="n">
        <v>12</v>
      </c>
      <c r="I466" s="18" t="n">
        <v>19</v>
      </c>
      <c r="J466" s="19" t="n">
        <v>24</v>
      </c>
      <c r="K466" s="20" t="n">
        <v>34</v>
      </c>
      <c r="L466" s="21" t="n">
        <v>41</v>
      </c>
      <c r="M466" s="22" t="n">
        <v>4</v>
      </c>
      <c r="N466" s="15" t="n">
        <f aca="false">SUMPRODUCT(COUNTIF(G466:L466,번호조회!$B$4:$B$9))</f>
        <v>0</v>
      </c>
    </row>
    <row r="467" customFormat="false" ht="16.5" hidden="false" customHeight="true" outlineLevel="0" collapsed="false">
      <c r="E467" s="1" t="n">
        <f aca="false">$E$13-($F$13-F467)*7</f>
        <v>43036</v>
      </c>
      <c r="F467" s="12" t="n">
        <v>778</v>
      </c>
      <c r="G467" s="16" t="n">
        <v>6</v>
      </c>
      <c r="H467" s="17" t="n">
        <v>21</v>
      </c>
      <c r="I467" s="18" t="n">
        <v>35</v>
      </c>
      <c r="J467" s="19" t="n">
        <v>36</v>
      </c>
      <c r="K467" s="20" t="n">
        <v>37</v>
      </c>
      <c r="L467" s="21" t="n">
        <v>41</v>
      </c>
      <c r="M467" s="22" t="n">
        <v>11</v>
      </c>
      <c r="N467" s="15" t="n">
        <f aca="false">SUMPRODUCT(COUNTIF(G467:L467,번호조회!$B$4:$B$9))</f>
        <v>0</v>
      </c>
    </row>
    <row r="468" customFormat="false" ht="16.5" hidden="false" customHeight="true" outlineLevel="0" collapsed="false">
      <c r="E468" s="1" t="n">
        <f aca="false">$E$13-($F$13-F468)*7</f>
        <v>43029</v>
      </c>
      <c r="F468" s="12" t="n">
        <v>777</v>
      </c>
      <c r="G468" s="16" t="n">
        <v>6</v>
      </c>
      <c r="H468" s="17" t="n">
        <v>12</v>
      </c>
      <c r="I468" s="18" t="n">
        <v>17</v>
      </c>
      <c r="J468" s="19" t="n">
        <v>21</v>
      </c>
      <c r="K468" s="20" t="n">
        <v>34</v>
      </c>
      <c r="L468" s="21" t="n">
        <v>37</v>
      </c>
      <c r="M468" s="22" t="n">
        <v>18</v>
      </c>
      <c r="N468" s="15" t="n">
        <f aca="false">SUMPRODUCT(COUNTIF(G468:L468,번호조회!$B$4:$B$9))</f>
        <v>0</v>
      </c>
    </row>
    <row r="469" customFormat="false" ht="16.5" hidden="false" customHeight="true" outlineLevel="0" collapsed="false">
      <c r="E469" s="1" t="n">
        <f aca="false">$E$13-($F$13-F469)*7</f>
        <v>43022</v>
      </c>
      <c r="F469" s="12" t="n">
        <v>776</v>
      </c>
      <c r="G469" s="16" t="n">
        <v>8</v>
      </c>
      <c r="H469" s="17" t="n">
        <v>9</v>
      </c>
      <c r="I469" s="18" t="n">
        <v>18</v>
      </c>
      <c r="J469" s="19" t="n">
        <v>21</v>
      </c>
      <c r="K469" s="20" t="n">
        <v>28</v>
      </c>
      <c r="L469" s="21" t="n">
        <v>40</v>
      </c>
      <c r="M469" s="22" t="n">
        <v>20</v>
      </c>
      <c r="N469" s="15" t="n">
        <f aca="false">SUMPRODUCT(COUNTIF(G469:L469,번호조회!$B$4:$B$9))</f>
        <v>0</v>
      </c>
    </row>
    <row r="470" customFormat="false" ht="16.5" hidden="false" customHeight="true" outlineLevel="0" collapsed="false">
      <c r="E470" s="1" t="n">
        <f aca="false">$E$13-($F$13-F470)*7</f>
        <v>43015</v>
      </c>
      <c r="F470" s="12" t="n">
        <v>775</v>
      </c>
      <c r="G470" s="16" t="n">
        <v>11</v>
      </c>
      <c r="H470" s="17" t="n">
        <v>12</v>
      </c>
      <c r="I470" s="18" t="n">
        <v>29</v>
      </c>
      <c r="J470" s="19" t="n">
        <v>33</v>
      </c>
      <c r="K470" s="20" t="n">
        <v>38</v>
      </c>
      <c r="L470" s="21" t="n">
        <v>42</v>
      </c>
      <c r="M470" s="22" t="n">
        <v>17</v>
      </c>
      <c r="N470" s="15" t="n">
        <f aca="false">SUMPRODUCT(COUNTIF(G470:L470,번호조회!$B$4:$B$9))</f>
        <v>0</v>
      </c>
    </row>
    <row r="471" customFormat="false" ht="16.5" hidden="false" customHeight="true" outlineLevel="0" collapsed="false">
      <c r="E471" s="1" t="n">
        <f aca="false">$E$13-($F$13-F471)*7</f>
        <v>43008</v>
      </c>
      <c r="F471" s="12" t="n">
        <v>774</v>
      </c>
      <c r="G471" s="16" t="n">
        <v>12</v>
      </c>
      <c r="H471" s="17" t="n">
        <v>15</v>
      </c>
      <c r="I471" s="18" t="n">
        <v>18</v>
      </c>
      <c r="J471" s="19" t="n">
        <v>28</v>
      </c>
      <c r="K471" s="20" t="n">
        <v>34</v>
      </c>
      <c r="L471" s="21" t="n">
        <v>42</v>
      </c>
      <c r="M471" s="22" t="n">
        <v>9</v>
      </c>
      <c r="N471" s="15" t="n">
        <f aca="false">SUMPRODUCT(COUNTIF(G471:L471,번호조회!$B$4:$B$9))</f>
        <v>0</v>
      </c>
    </row>
    <row r="472" customFormat="false" ht="16.5" hidden="false" customHeight="true" outlineLevel="0" collapsed="false">
      <c r="E472" s="1" t="n">
        <f aca="false">$E$13-($F$13-F472)*7</f>
        <v>43001</v>
      </c>
      <c r="F472" s="12" t="n">
        <v>773</v>
      </c>
      <c r="G472" s="16" t="n">
        <v>8</v>
      </c>
      <c r="H472" s="17" t="n">
        <v>12</v>
      </c>
      <c r="I472" s="18" t="n">
        <v>19</v>
      </c>
      <c r="J472" s="19" t="n">
        <v>21</v>
      </c>
      <c r="K472" s="20" t="n">
        <v>31</v>
      </c>
      <c r="L472" s="21" t="n">
        <v>35</v>
      </c>
      <c r="M472" s="22" t="n">
        <v>44</v>
      </c>
      <c r="N472" s="15" t="n">
        <f aca="false">SUMPRODUCT(COUNTIF(G472:L472,번호조회!$B$4:$B$9))</f>
        <v>0</v>
      </c>
    </row>
    <row r="473" customFormat="false" ht="16.5" hidden="false" customHeight="true" outlineLevel="0" collapsed="false">
      <c r="E473" s="1" t="n">
        <f aca="false">$E$13-($F$13-F473)*7</f>
        <v>42994</v>
      </c>
      <c r="F473" s="12" t="n">
        <v>772</v>
      </c>
      <c r="G473" s="16" t="n">
        <v>5</v>
      </c>
      <c r="H473" s="17" t="n">
        <v>6</v>
      </c>
      <c r="I473" s="18" t="n">
        <v>11</v>
      </c>
      <c r="J473" s="19" t="n">
        <v>14</v>
      </c>
      <c r="K473" s="20" t="n">
        <v>21</v>
      </c>
      <c r="L473" s="21" t="n">
        <v>41</v>
      </c>
      <c r="M473" s="22" t="n">
        <v>32</v>
      </c>
      <c r="N473" s="15" t="n">
        <f aca="false">SUMPRODUCT(COUNTIF(G473:L473,번호조회!$B$4:$B$9))</f>
        <v>0</v>
      </c>
    </row>
    <row r="474" customFormat="false" ht="16.5" hidden="false" customHeight="true" outlineLevel="0" collapsed="false">
      <c r="E474" s="1" t="n">
        <f aca="false">$E$13-($F$13-F474)*7</f>
        <v>42987</v>
      </c>
      <c r="F474" s="12" t="n">
        <v>771</v>
      </c>
      <c r="G474" s="16" t="n">
        <v>6</v>
      </c>
      <c r="H474" s="17" t="n">
        <v>10</v>
      </c>
      <c r="I474" s="18" t="n">
        <v>17</v>
      </c>
      <c r="J474" s="19" t="n">
        <v>18</v>
      </c>
      <c r="K474" s="20" t="n">
        <v>21</v>
      </c>
      <c r="L474" s="21" t="n">
        <v>29</v>
      </c>
      <c r="M474" s="22" t="n">
        <v>30</v>
      </c>
      <c r="N474" s="15" t="n">
        <f aca="false">SUMPRODUCT(COUNTIF(G474:L474,번호조회!$B$4:$B$9))</f>
        <v>0</v>
      </c>
    </row>
    <row r="475" customFormat="false" ht="16.5" hidden="false" customHeight="true" outlineLevel="0" collapsed="false">
      <c r="E475" s="1" t="n">
        <f aca="false">$E$13-($F$13-F475)*7</f>
        <v>42980</v>
      </c>
      <c r="F475" s="12" t="n">
        <v>770</v>
      </c>
      <c r="G475" s="16" t="n">
        <v>1</v>
      </c>
      <c r="H475" s="17" t="n">
        <v>9</v>
      </c>
      <c r="I475" s="18" t="n">
        <v>12</v>
      </c>
      <c r="J475" s="19" t="n">
        <v>23</v>
      </c>
      <c r="K475" s="20" t="n">
        <v>39</v>
      </c>
      <c r="L475" s="21" t="n">
        <v>43</v>
      </c>
      <c r="M475" s="22" t="n">
        <v>34</v>
      </c>
      <c r="N475" s="15" t="n">
        <f aca="false">SUMPRODUCT(COUNTIF(G475:L475,번호조회!$B$4:$B$9))</f>
        <v>0</v>
      </c>
    </row>
    <row r="476" customFormat="false" ht="16.5" hidden="false" customHeight="true" outlineLevel="0" collapsed="false">
      <c r="E476" s="1" t="n">
        <f aca="false">$E$13-($F$13-F476)*7</f>
        <v>42973</v>
      </c>
      <c r="F476" s="12" t="n">
        <v>769</v>
      </c>
      <c r="G476" s="16" t="n">
        <v>5</v>
      </c>
      <c r="H476" s="17" t="n">
        <v>7</v>
      </c>
      <c r="I476" s="18" t="n">
        <v>11</v>
      </c>
      <c r="J476" s="19" t="n">
        <v>16</v>
      </c>
      <c r="K476" s="20" t="n">
        <v>41</v>
      </c>
      <c r="L476" s="21" t="n">
        <v>45</v>
      </c>
      <c r="M476" s="22" t="n">
        <v>4</v>
      </c>
      <c r="N476" s="15" t="n">
        <f aca="false">SUMPRODUCT(COUNTIF(G476:L476,번호조회!$B$4:$B$9))</f>
        <v>0</v>
      </c>
    </row>
    <row r="477" customFormat="false" ht="16.5" hidden="false" customHeight="true" outlineLevel="0" collapsed="false">
      <c r="E477" s="1" t="n">
        <f aca="false">$E$13-($F$13-F477)*7</f>
        <v>42966</v>
      </c>
      <c r="F477" s="12" t="n">
        <v>768</v>
      </c>
      <c r="G477" s="16" t="n">
        <v>7</v>
      </c>
      <c r="H477" s="17" t="n">
        <v>27</v>
      </c>
      <c r="I477" s="18" t="n">
        <v>29</v>
      </c>
      <c r="J477" s="19" t="n">
        <v>30</v>
      </c>
      <c r="K477" s="20" t="n">
        <v>38</v>
      </c>
      <c r="L477" s="21" t="n">
        <v>44</v>
      </c>
      <c r="M477" s="22" t="n">
        <v>4</v>
      </c>
      <c r="N477" s="15" t="n">
        <f aca="false">SUMPRODUCT(COUNTIF(G477:L477,번호조회!$B$4:$B$9))</f>
        <v>0</v>
      </c>
    </row>
    <row r="478" customFormat="false" ht="16.5" hidden="false" customHeight="true" outlineLevel="0" collapsed="false">
      <c r="E478" s="1" t="n">
        <f aca="false">$E$13-($F$13-F478)*7</f>
        <v>42959</v>
      </c>
      <c r="F478" s="12" t="n">
        <v>767</v>
      </c>
      <c r="G478" s="16" t="n">
        <v>5</v>
      </c>
      <c r="H478" s="17" t="n">
        <v>15</v>
      </c>
      <c r="I478" s="18" t="n">
        <v>20</v>
      </c>
      <c r="J478" s="19" t="n">
        <v>31</v>
      </c>
      <c r="K478" s="20" t="n">
        <v>34</v>
      </c>
      <c r="L478" s="21" t="n">
        <v>42</v>
      </c>
      <c r="M478" s="22" t="n">
        <v>22</v>
      </c>
      <c r="N478" s="15" t="n">
        <f aca="false">SUMPRODUCT(COUNTIF(G478:L478,번호조회!$B$4:$B$9))</f>
        <v>0</v>
      </c>
    </row>
    <row r="479" customFormat="false" ht="16.5" hidden="false" customHeight="true" outlineLevel="0" collapsed="false">
      <c r="E479" s="1" t="n">
        <f aca="false">$E$13-($F$13-F479)*7</f>
        <v>42952</v>
      </c>
      <c r="F479" s="12" t="n">
        <v>766</v>
      </c>
      <c r="G479" s="16" t="n">
        <v>9</v>
      </c>
      <c r="H479" s="17" t="n">
        <v>30</v>
      </c>
      <c r="I479" s="18" t="n">
        <v>34</v>
      </c>
      <c r="J479" s="19" t="n">
        <v>35</v>
      </c>
      <c r="K479" s="20" t="n">
        <v>39</v>
      </c>
      <c r="L479" s="21" t="n">
        <v>41</v>
      </c>
      <c r="M479" s="22" t="n">
        <v>21</v>
      </c>
      <c r="N479" s="15" t="n">
        <f aca="false">SUMPRODUCT(COUNTIF(G479:L479,번호조회!$B$4:$B$9))</f>
        <v>0</v>
      </c>
    </row>
    <row r="480" customFormat="false" ht="16.5" hidden="false" customHeight="true" outlineLevel="0" collapsed="false">
      <c r="E480" s="1" t="n">
        <f aca="false">$E$13-($F$13-F480)*7</f>
        <v>42945</v>
      </c>
      <c r="F480" s="12" t="n">
        <v>765</v>
      </c>
      <c r="G480" s="16" t="n">
        <v>1</v>
      </c>
      <c r="H480" s="17" t="n">
        <v>3</v>
      </c>
      <c r="I480" s="18" t="n">
        <v>8</v>
      </c>
      <c r="J480" s="19" t="n">
        <v>12</v>
      </c>
      <c r="K480" s="20" t="n">
        <v>42</v>
      </c>
      <c r="L480" s="21" t="n">
        <v>43</v>
      </c>
      <c r="M480" s="22" t="n">
        <v>33</v>
      </c>
      <c r="N480" s="15" t="n">
        <f aca="false">SUMPRODUCT(COUNTIF(G480:L480,번호조회!$B$4:$B$9))</f>
        <v>0</v>
      </c>
    </row>
    <row r="481" customFormat="false" ht="16.5" hidden="false" customHeight="true" outlineLevel="0" collapsed="false">
      <c r="E481" s="1" t="n">
        <f aca="false">$E$13-($F$13-F481)*7</f>
        <v>42938</v>
      </c>
      <c r="F481" s="12" t="n">
        <v>764</v>
      </c>
      <c r="G481" s="16" t="n">
        <v>7</v>
      </c>
      <c r="H481" s="17" t="n">
        <v>22</v>
      </c>
      <c r="I481" s="18" t="n">
        <v>24</v>
      </c>
      <c r="J481" s="19" t="n">
        <v>31</v>
      </c>
      <c r="K481" s="20" t="n">
        <v>34</v>
      </c>
      <c r="L481" s="21" t="n">
        <v>36</v>
      </c>
      <c r="M481" s="22" t="n">
        <v>15</v>
      </c>
      <c r="N481" s="15" t="n">
        <f aca="false">SUMPRODUCT(COUNTIF(G481:L481,번호조회!$B$4:$B$9))</f>
        <v>0</v>
      </c>
    </row>
    <row r="482" customFormat="false" ht="16.5" hidden="false" customHeight="true" outlineLevel="0" collapsed="false">
      <c r="E482" s="1" t="n">
        <f aca="false">$E$13-($F$13-F482)*7</f>
        <v>42931</v>
      </c>
      <c r="F482" s="12" t="n">
        <v>763</v>
      </c>
      <c r="G482" s="16" t="n">
        <v>3</v>
      </c>
      <c r="H482" s="17" t="n">
        <v>8</v>
      </c>
      <c r="I482" s="18" t="n">
        <v>16</v>
      </c>
      <c r="J482" s="19" t="n">
        <v>32</v>
      </c>
      <c r="K482" s="20" t="n">
        <v>34</v>
      </c>
      <c r="L482" s="21" t="n">
        <v>43</v>
      </c>
      <c r="M482" s="22" t="n">
        <v>10</v>
      </c>
      <c r="N482" s="15" t="n">
        <f aca="false">SUMPRODUCT(COUNTIF(G482:L482,번호조회!$B$4:$B$9))</f>
        <v>0</v>
      </c>
    </row>
    <row r="483" customFormat="false" ht="16.5" hidden="false" customHeight="true" outlineLevel="0" collapsed="false">
      <c r="E483" s="1" t="n">
        <f aca="false">$E$13-($F$13-F483)*7</f>
        <v>42924</v>
      </c>
      <c r="F483" s="12" t="n">
        <v>762</v>
      </c>
      <c r="G483" s="16" t="n">
        <v>1</v>
      </c>
      <c r="H483" s="17" t="n">
        <v>3</v>
      </c>
      <c r="I483" s="18" t="n">
        <v>12</v>
      </c>
      <c r="J483" s="19" t="n">
        <v>21</v>
      </c>
      <c r="K483" s="20" t="n">
        <v>26</v>
      </c>
      <c r="L483" s="21" t="n">
        <v>41</v>
      </c>
      <c r="M483" s="22" t="n">
        <v>16</v>
      </c>
      <c r="N483" s="15" t="n">
        <f aca="false">SUMPRODUCT(COUNTIF(G483:L483,번호조회!$B$4:$B$9))</f>
        <v>0</v>
      </c>
    </row>
    <row r="484" customFormat="false" ht="16.5" hidden="false" customHeight="true" outlineLevel="0" collapsed="false">
      <c r="E484" s="1" t="n">
        <f aca="false">$E$13-($F$13-F484)*7</f>
        <v>42917</v>
      </c>
      <c r="F484" s="12" t="n">
        <v>761</v>
      </c>
      <c r="G484" s="16" t="n">
        <v>4</v>
      </c>
      <c r="H484" s="17" t="n">
        <v>7</v>
      </c>
      <c r="I484" s="18" t="n">
        <v>11</v>
      </c>
      <c r="J484" s="19" t="n">
        <v>24</v>
      </c>
      <c r="K484" s="20" t="n">
        <v>42</v>
      </c>
      <c r="L484" s="21" t="n">
        <v>45</v>
      </c>
      <c r="M484" s="22" t="n">
        <v>30</v>
      </c>
      <c r="N484" s="15" t="n">
        <f aca="false">SUMPRODUCT(COUNTIF(G484:L484,번호조회!$B$4:$B$9))</f>
        <v>0</v>
      </c>
    </row>
    <row r="485" customFormat="false" ht="16.5" hidden="false" customHeight="true" outlineLevel="0" collapsed="false">
      <c r="E485" s="1" t="n">
        <f aca="false">$E$13-($F$13-F485)*7</f>
        <v>42910</v>
      </c>
      <c r="F485" s="12" t="n">
        <v>760</v>
      </c>
      <c r="G485" s="16" t="n">
        <v>10</v>
      </c>
      <c r="H485" s="17" t="n">
        <v>22</v>
      </c>
      <c r="I485" s="18" t="n">
        <v>27</v>
      </c>
      <c r="J485" s="19" t="n">
        <v>31</v>
      </c>
      <c r="K485" s="20" t="n">
        <v>42</v>
      </c>
      <c r="L485" s="21" t="n">
        <v>43</v>
      </c>
      <c r="M485" s="22" t="n">
        <v>12</v>
      </c>
      <c r="N485" s="15" t="n">
        <f aca="false">SUMPRODUCT(COUNTIF(G485:L485,번호조회!$B$4:$B$9))</f>
        <v>0</v>
      </c>
    </row>
    <row r="486" customFormat="false" ht="16.5" hidden="false" customHeight="true" outlineLevel="0" collapsed="false">
      <c r="E486" s="1" t="n">
        <f aca="false">$E$13-($F$13-F486)*7</f>
        <v>42903</v>
      </c>
      <c r="F486" s="12" t="n">
        <v>759</v>
      </c>
      <c r="G486" s="16" t="n">
        <v>9</v>
      </c>
      <c r="H486" s="17" t="n">
        <v>33</v>
      </c>
      <c r="I486" s="18" t="n">
        <v>36</v>
      </c>
      <c r="J486" s="19" t="n">
        <v>40</v>
      </c>
      <c r="K486" s="20" t="n">
        <v>42</v>
      </c>
      <c r="L486" s="21" t="n">
        <v>43</v>
      </c>
      <c r="M486" s="22" t="n">
        <v>32</v>
      </c>
      <c r="N486" s="15" t="n">
        <f aca="false">SUMPRODUCT(COUNTIF(G486:L486,번호조회!$B$4:$B$9))</f>
        <v>0</v>
      </c>
    </row>
    <row r="487" customFormat="false" ht="16.5" hidden="false" customHeight="true" outlineLevel="0" collapsed="false">
      <c r="E487" s="1" t="n">
        <f aca="false">$E$13-($F$13-F487)*7</f>
        <v>42896</v>
      </c>
      <c r="F487" s="12" t="n">
        <v>758</v>
      </c>
      <c r="G487" s="16" t="n">
        <v>5</v>
      </c>
      <c r="H487" s="17" t="n">
        <v>9</v>
      </c>
      <c r="I487" s="18" t="n">
        <v>12</v>
      </c>
      <c r="J487" s="19" t="n">
        <v>30</v>
      </c>
      <c r="K487" s="20" t="n">
        <v>39</v>
      </c>
      <c r="L487" s="21" t="n">
        <v>43</v>
      </c>
      <c r="M487" s="22" t="n">
        <v>24</v>
      </c>
      <c r="N487" s="15" t="n">
        <f aca="false">SUMPRODUCT(COUNTIF(G487:L487,번호조회!$B$4:$B$9))</f>
        <v>0</v>
      </c>
    </row>
    <row r="488" customFormat="false" ht="16.5" hidden="false" customHeight="true" outlineLevel="0" collapsed="false">
      <c r="E488" s="1" t="n">
        <f aca="false">$E$13-($F$13-F488)*7</f>
        <v>42889</v>
      </c>
      <c r="F488" s="12" t="n">
        <v>757</v>
      </c>
      <c r="G488" s="16" t="n">
        <v>6</v>
      </c>
      <c r="H488" s="17" t="n">
        <v>7</v>
      </c>
      <c r="I488" s="18" t="n">
        <v>11</v>
      </c>
      <c r="J488" s="19" t="n">
        <v>17</v>
      </c>
      <c r="K488" s="20" t="n">
        <v>33</v>
      </c>
      <c r="L488" s="21" t="n">
        <v>44</v>
      </c>
      <c r="M488" s="22" t="n">
        <v>1</v>
      </c>
      <c r="N488" s="15" t="n">
        <f aca="false">SUMPRODUCT(COUNTIF(G488:L488,번호조회!$B$4:$B$9))</f>
        <v>0</v>
      </c>
    </row>
    <row r="489" customFormat="false" ht="16.5" hidden="false" customHeight="true" outlineLevel="0" collapsed="false">
      <c r="E489" s="1" t="n">
        <f aca="false">$E$13-($F$13-F489)*7</f>
        <v>42882</v>
      </c>
      <c r="F489" s="12" t="n">
        <v>756</v>
      </c>
      <c r="G489" s="16" t="n">
        <v>10</v>
      </c>
      <c r="H489" s="17" t="n">
        <v>14</v>
      </c>
      <c r="I489" s="18" t="n">
        <v>16</v>
      </c>
      <c r="J489" s="19" t="n">
        <v>18</v>
      </c>
      <c r="K489" s="20" t="n">
        <v>27</v>
      </c>
      <c r="L489" s="21" t="n">
        <v>28</v>
      </c>
      <c r="M489" s="22" t="n">
        <v>4</v>
      </c>
      <c r="N489" s="15" t="n">
        <f aca="false">SUMPRODUCT(COUNTIF(G489:L489,번호조회!$B$4:$B$9))</f>
        <v>0</v>
      </c>
    </row>
    <row r="490" customFormat="false" ht="16.5" hidden="false" customHeight="true" outlineLevel="0" collapsed="false">
      <c r="E490" s="1" t="n">
        <f aca="false">$E$13-($F$13-F490)*7</f>
        <v>42875</v>
      </c>
      <c r="F490" s="12" t="n">
        <v>755</v>
      </c>
      <c r="G490" s="16" t="n">
        <v>13</v>
      </c>
      <c r="H490" s="17" t="n">
        <v>14</v>
      </c>
      <c r="I490" s="18" t="n">
        <v>26</v>
      </c>
      <c r="J490" s="19" t="n">
        <v>28</v>
      </c>
      <c r="K490" s="20" t="n">
        <v>30</v>
      </c>
      <c r="L490" s="21" t="n">
        <v>36</v>
      </c>
      <c r="M490" s="22" t="n">
        <v>37</v>
      </c>
      <c r="N490" s="15" t="n">
        <f aca="false">SUMPRODUCT(COUNTIF(G490:L490,번호조회!$B$4:$B$9))</f>
        <v>0</v>
      </c>
    </row>
    <row r="491" customFormat="false" ht="16.5" hidden="false" customHeight="true" outlineLevel="0" collapsed="false">
      <c r="E491" s="1" t="n">
        <f aca="false">$E$13-($F$13-F491)*7</f>
        <v>42868</v>
      </c>
      <c r="F491" s="12" t="n">
        <v>754</v>
      </c>
      <c r="G491" s="16" t="n">
        <v>2</v>
      </c>
      <c r="H491" s="17" t="n">
        <v>8</v>
      </c>
      <c r="I491" s="18" t="n">
        <v>17</v>
      </c>
      <c r="J491" s="19" t="n">
        <v>24</v>
      </c>
      <c r="K491" s="20" t="n">
        <v>29</v>
      </c>
      <c r="L491" s="21" t="n">
        <v>31</v>
      </c>
      <c r="M491" s="22" t="n">
        <v>32</v>
      </c>
      <c r="N491" s="15" t="n">
        <f aca="false">SUMPRODUCT(COUNTIF(G491:L491,번호조회!$B$4:$B$9))</f>
        <v>0</v>
      </c>
    </row>
    <row r="492" customFormat="false" ht="16.5" hidden="false" customHeight="true" outlineLevel="0" collapsed="false">
      <c r="E492" s="1" t="n">
        <f aca="false">$E$13-($F$13-F492)*7</f>
        <v>42861</v>
      </c>
      <c r="F492" s="12" t="n">
        <v>753</v>
      </c>
      <c r="G492" s="16" t="n">
        <v>2</v>
      </c>
      <c r="H492" s="17" t="n">
        <v>17</v>
      </c>
      <c r="I492" s="18" t="n">
        <v>19</v>
      </c>
      <c r="J492" s="19" t="n">
        <v>24</v>
      </c>
      <c r="K492" s="20" t="n">
        <v>37</v>
      </c>
      <c r="L492" s="21" t="n">
        <v>41</v>
      </c>
      <c r="M492" s="22" t="n">
        <v>3</v>
      </c>
      <c r="N492" s="15" t="n">
        <f aca="false">SUMPRODUCT(COUNTIF(G492:L492,번호조회!$B$4:$B$9))</f>
        <v>0</v>
      </c>
    </row>
    <row r="493" customFormat="false" ht="16.5" hidden="false" customHeight="true" outlineLevel="0" collapsed="false">
      <c r="E493" s="1" t="n">
        <f aca="false">$E$13-($F$13-F493)*7</f>
        <v>42854</v>
      </c>
      <c r="F493" s="12" t="n">
        <v>752</v>
      </c>
      <c r="G493" s="16" t="n">
        <v>4</v>
      </c>
      <c r="H493" s="17" t="n">
        <v>16</v>
      </c>
      <c r="I493" s="18" t="n">
        <v>20</v>
      </c>
      <c r="J493" s="19" t="n">
        <v>33</v>
      </c>
      <c r="K493" s="20" t="n">
        <v>40</v>
      </c>
      <c r="L493" s="21" t="n">
        <v>43</v>
      </c>
      <c r="M493" s="22" t="n">
        <v>7</v>
      </c>
      <c r="N493" s="15" t="n">
        <f aca="false">SUMPRODUCT(COUNTIF(G493:L493,번호조회!$B$4:$B$9))</f>
        <v>0</v>
      </c>
    </row>
    <row r="494" customFormat="false" ht="16.5" hidden="false" customHeight="true" outlineLevel="0" collapsed="false">
      <c r="E494" s="1" t="n">
        <f aca="false">$E$13-($F$13-F494)*7</f>
        <v>42847</v>
      </c>
      <c r="F494" s="12" t="n">
        <v>751</v>
      </c>
      <c r="G494" s="16" t="n">
        <v>3</v>
      </c>
      <c r="H494" s="17" t="n">
        <v>4</v>
      </c>
      <c r="I494" s="18" t="n">
        <v>16</v>
      </c>
      <c r="J494" s="19" t="n">
        <v>20</v>
      </c>
      <c r="K494" s="20" t="n">
        <v>28</v>
      </c>
      <c r="L494" s="21" t="n">
        <v>44</v>
      </c>
      <c r="M494" s="22" t="n">
        <v>17</v>
      </c>
      <c r="N494" s="15" t="n">
        <f aca="false">SUMPRODUCT(COUNTIF(G494:L494,번호조회!$B$4:$B$9))</f>
        <v>0</v>
      </c>
    </row>
    <row r="495" customFormat="false" ht="16.5" hidden="false" customHeight="true" outlineLevel="0" collapsed="false">
      <c r="E495" s="1" t="n">
        <f aca="false">$E$13-($F$13-F495)*7</f>
        <v>42840</v>
      </c>
      <c r="F495" s="12" t="n">
        <v>750</v>
      </c>
      <c r="G495" s="16" t="n">
        <v>1</v>
      </c>
      <c r="H495" s="17" t="n">
        <v>2</v>
      </c>
      <c r="I495" s="18" t="n">
        <v>15</v>
      </c>
      <c r="J495" s="19" t="n">
        <v>19</v>
      </c>
      <c r="K495" s="20" t="n">
        <v>24</v>
      </c>
      <c r="L495" s="21" t="n">
        <v>36</v>
      </c>
      <c r="M495" s="22" t="n">
        <v>12</v>
      </c>
      <c r="N495" s="15" t="n">
        <f aca="false">SUMPRODUCT(COUNTIF(G495:L495,번호조회!$B$4:$B$9))</f>
        <v>0</v>
      </c>
    </row>
    <row r="496" customFormat="false" ht="16.5" hidden="false" customHeight="true" outlineLevel="0" collapsed="false">
      <c r="E496" s="1" t="n">
        <f aca="false">$E$13-($F$13-F496)*7</f>
        <v>42833</v>
      </c>
      <c r="F496" s="12" t="n">
        <v>749</v>
      </c>
      <c r="G496" s="16" t="n">
        <v>12</v>
      </c>
      <c r="H496" s="17" t="n">
        <v>14</v>
      </c>
      <c r="I496" s="18" t="n">
        <v>24</v>
      </c>
      <c r="J496" s="19" t="n">
        <v>26</v>
      </c>
      <c r="K496" s="20" t="n">
        <v>34</v>
      </c>
      <c r="L496" s="21" t="n">
        <v>45</v>
      </c>
      <c r="M496" s="22" t="n">
        <v>41</v>
      </c>
      <c r="N496" s="15" t="n">
        <f aca="false">SUMPRODUCT(COUNTIF(G496:L496,번호조회!$B$4:$B$9))</f>
        <v>0</v>
      </c>
    </row>
    <row r="497" customFormat="false" ht="16.5" hidden="false" customHeight="true" outlineLevel="0" collapsed="false">
      <c r="E497" s="1" t="n">
        <f aca="false">$E$13-($F$13-F497)*7</f>
        <v>42826</v>
      </c>
      <c r="F497" s="12" t="n">
        <v>748</v>
      </c>
      <c r="G497" s="16" t="n">
        <v>3</v>
      </c>
      <c r="H497" s="17" t="n">
        <v>10</v>
      </c>
      <c r="I497" s="18" t="n">
        <v>13</v>
      </c>
      <c r="J497" s="19" t="n">
        <v>22</v>
      </c>
      <c r="K497" s="20" t="n">
        <v>31</v>
      </c>
      <c r="L497" s="21" t="n">
        <v>32</v>
      </c>
      <c r="M497" s="22" t="n">
        <v>29</v>
      </c>
      <c r="N497" s="15" t="n">
        <f aca="false">SUMPRODUCT(COUNTIF(G497:L497,번호조회!$B$4:$B$9))</f>
        <v>0</v>
      </c>
    </row>
    <row r="498" customFormat="false" ht="16.5" hidden="false" customHeight="true" outlineLevel="0" collapsed="false">
      <c r="E498" s="1" t="n">
        <f aca="false">$E$13-($F$13-F498)*7</f>
        <v>42819</v>
      </c>
      <c r="F498" s="12" t="n">
        <v>747</v>
      </c>
      <c r="G498" s="16" t="n">
        <v>7</v>
      </c>
      <c r="H498" s="17" t="n">
        <v>9</v>
      </c>
      <c r="I498" s="18" t="n">
        <v>12</v>
      </c>
      <c r="J498" s="19" t="n">
        <v>14</v>
      </c>
      <c r="K498" s="20" t="n">
        <v>23</v>
      </c>
      <c r="L498" s="21" t="n">
        <v>28</v>
      </c>
      <c r="M498" s="22" t="n">
        <v>17</v>
      </c>
      <c r="N498" s="15" t="n">
        <f aca="false">SUMPRODUCT(COUNTIF(G498:L498,번호조회!$B$4:$B$9))</f>
        <v>0</v>
      </c>
    </row>
    <row r="499" customFormat="false" ht="16.5" hidden="false" customHeight="true" outlineLevel="0" collapsed="false">
      <c r="E499" s="1" t="n">
        <f aca="false">$E$13-($F$13-F499)*7</f>
        <v>42812</v>
      </c>
      <c r="F499" s="12" t="n">
        <v>746</v>
      </c>
      <c r="G499" s="16" t="n">
        <v>3</v>
      </c>
      <c r="H499" s="17" t="n">
        <v>12</v>
      </c>
      <c r="I499" s="18" t="n">
        <v>33</v>
      </c>
      <c r="J499" s="19" t="n">
        <v>36</v>
      </c>
      <c r="K499" s="20" t="n">
        <v>42</v>
      </c>
      <c r="L499" s="21" t="n">
        <v>45</v>
      </c>
      <c r="M499" s="22" t="n">
        <v>25</v>
      </c>
      <c r="N499" s="15" t="n">
        <f aca="false">SUMPRODUCT(COUNTIF(G499:L499,번호조회!$B$4:$B$9))</f>
        <v>0</v>
      </c>
    </row>
    <row r="500" customFormat="false" ht="16.5" hidden="false" customHeight="true" outlineLevel="0" collapsed="false">
      <c r="E500" s="1" t="n">
        <f aca="false">$E$13-($F$13-F500)*7</f>
        <v>42805</v>
      </c>
      <c r="F500" s="12" t="n">
        <v>745</v>
      </c>
      <c r="G500" s="16" t="n">
        <v>1</v>
      </c>
      <c r="H500" s="17" t="n">
        <v>2</v>
      </c>
      <c r="I500" s="18" t="n">
        <v>3</v>
      </c>
      <c r="J500" s="19" t="n">
        <v>9</v>
      </c>
      <c r="K500" s="20" t="n">
        <v>12</v>
      </c>
      <c r="L500" s="21" t="n">
        <v>23</v>
      </c>
      <c r="M500" s="22" t="n">
        <v>10</v>
      </c>
      <c r="N500" s="15" t="n">
        <f aca="false">SUMPRODUCT(COUNTIF(G500:L500,번호조회!$B$4:$B$9))</f>
        <v>0</v>
      </c>
    </row>
    <row r="501" customFormat="false" ht="16.5" hidden="false" customHeight="true" outlineLevel="0" collapsed="false">
      <c r="E501" s="1" t="n">
        <f aca="false">$E$13-($F$13-F501)*7</f>
        <v>42798</v>
      </c>
      <c r="F501" s="12" t="n">
        <v>744</v>
      </c>
      <c r="G501" s="16" t="n">
        <v>10</v>
      </c>
      <c r="H501" s="17" t="n">
        <v>15</v>
      </c>
      <c r="I501" s="18" t="n">
        <v>18</v>
      </c>
      <c r="J501" s="19" t="n">
        <v>21</v>
      </c>
      <c r="K501" s="20" t="n">
        <v>34</v>
      </c>
      <c r="L501" s="21" t="n">
        <v>41</v>
      </c>
      <c r="M501" s="22" t="n">
        <v>43</v>
      </c>
      <c r="N501" s="15" t="n">
        <f aca="false">SUMPRODUCT(COUNTIF(G501:L501,번호조회!$B$4:$B$9))</f>
        <v>0</v>
      </c>
    </row>
    <row r="502" customFormat="false" ht="16.5" hidden="false" customHeight="true" outlineLevel="0" collapsed="false">
      <c r="E502" s="1" t="n">
        <f aca="false">$E$13-($F$13-F502)*7</f>
        <v>42791</v>
      </c>
      <c r="F502" s="12" t="n">
        <v>743</v>
      </c>
      <c r="G502" s="16" t="n">
        <v>15</v>
      </c>
      <c r="H502" s="17" t="n">
        <v>19</v>
      </c>
      <c r="I502" s="18" t="n">
        <v>21</v>
      </c>
      <c r="J502" s="19" t="n">
        <v>34</v>
      </c>
      <c r="K502" s="20" t="n">
        <v>41</v>
      </c>
      <c r="L502" s="21" t="n">
        <v>44</v>
      </c>
      <c r="M502" s="22" t="n">
        <v>10</v>
      </c>
      <c r="N502" s="15" t="n">
        <f aca="false">SUMPRODUCT(COUNTIF(G502:L502,번호조회!$B$4:$B$9))</f>
        <v>0</v>
      </c>
    </row>
    <row r="503" customFormat="false" ht="16.5" hidden="false" customHeight="true" outlineLevel="0" collapsed="false">
      <c r="E503" s="1" t="n">
        <f aca="false">$E$13-($F$13-F503)*7</f>
        <v>42784</v>
      </c>
      <c r="F503" s="12" t="n">
        <v>742</v>
      </c>
      <c r="G503" s="16" t="n">
        <v>8</v>
      </c>
      <c r="H503" s="17" t="n">
        <v>10</v>
      </c>
      <c r="I503" s="18" t="n">
        <v>13</v>
      </c>
      <c r="J503" s="19" t="n">
        <v>36</v>
      </c>
      <c r="K503" s="20" t="n">
        <v>37</v>
      </c>
      <c r="L503" s="21" t="n">
        <v>40</v>
      </c>
      <c r="M503" s="22" t="n">
        <v>6</v>
      </c>
      <c r="N503" s="15" t="n">
        <f aca="false">SUMPRODUCT(COUNTIF(G503:L503,번호조회!$B$4:$B$9))</f>
        <v>0</v>
      </c>
    </row>
    <row r="504" customFormat="false" ht="16.5" hidden="false" customHeight="true" outlineLevel="0" collapsed="false">
      <c r="E504" s="1" t="n">
        <f aca="false">$E$13-($F$13-F504)*7</f>
        <v>42777</v>
      </c>
      <c r="F504" s="12" t="n">
        <v>741</v>
      </c>
      <c r="G504" s="16" t="n">
        <v>5</v>
      </c>
      <c r="H504" s="17" t="n">
        <v>21</v>
      </c>
      <c r="I504" s="18" t="n">
        <v>27</v>
      </c>
      <c r="J504" s="19" t="n">
        <v>34</v>
      </c>
      <c r="K504" s="20" t="n">
        <v>44</v>
      </c>
      <c r="L504" s="21" t="n">
        <v>45</v>
      </c>
      <c r="M504" s="22" t="n">
        <v>16</v>
      </c>
      <c r="N504" s="15" t="n">
        <f aca="false">SUMPRODUCT(COUNTIF(G504:L504,번호조회!$B$4:$B$9))</f>
        <v>0</v>
      </c>
    </row>
    <row r="505" customFormat="false" ht="16.5" hidden="false" customHeight="true" outlineLevel="0" collapsed="false">
      <c r="E505" s="1" t="n">
        <f aca="false">$E$13-($F$13-F505)*7</f>
        <v>42770</v>
      </c>
      <c r="F505" s="12" t="n">
        <v>740</v>
      </c>
      <c r="G505" s="16" t="n">
        <v>4</v>
      </c>
      <c r="H505" s="17" t="n">
        <v>8</v>
      </c>
      <c r="I505" s="18" t="n">
        <v>9</v>
      </c>
      <c r="J505" s="19" t="n">
        <v>16</v>
      </c>
      <c r="K505" s="20" t="n">
        <v>17</v>
      </c>
      <c r="L505" s="21" t="n">
        <v>19</v>
      </c>
      <c r="M505" s="22" t="n">
        <v>31</v>
      </c>
      <c r="N505" s="15" t="n">
        <f aca="false">SUMPRODUCT(COUNTIF(G505:L505,번호조회!$B$4:$B$9))</f>
        <v>0</v>
      </c>
    </row>
    <row r="506" customFormat="false" ht="16.5" hidden="false" customHeight="true" outlineLevel="0" collapsed="false">
      <c r="E506" s="1" t="n">
        <f aca="false">$E$13-($F$13-F506)*7</f>
        <v>42763</v>
      </c>
      <c r="F506" s="12" t="n">
        <v>739</v>
      </c>
      <c r="G506" s="16" t="n">
        <v>7</v>
      </c>
      <c r="H506" s="17" t="n">
        <v>22</v>
      </c>
      <c r="I506" s="18" t="n">
        <v>29</v>
      </c>
      <c r="J506" s="19" t="n">
        <v>33</v>
      </c>
      <c r="K506" s="20" t="n">
        <v>34</v>
      </c>
      <c r="L506" s="21" t="n">
        <v>35</v>
      </c>
      <c r="M506" s="22" t="n">
        <v>30</v>
      </c>
      <c r="N506" s="15" t="n">
        <f aca="false">SUMPRODUCT(COUNTIF(G506:L506,번호조회!$B$4:$B$9))</f>
        <v>0</v>
      </c>
    </row>
    <row r="507" customFormat="false" ht="16.5" hidden="false" customHeight="true" outlineLevel="0" collapsed="false">
      <c r="E507" s="1" t="n">
        <f aca="false">$E$13-($F$13-F507)*7</f>
        <v>42756</v>
      </c>
      <c r="F507" s="12" t="n">
        <v>738</v>
      </c>
      <c r="G507" s="16" t="n">
        <v>23</v>
      </c>
      <c r="H507" s="17" t="n">
        <v>27</v>
      </c>
      <c r="I507" s="18" t="n">
        <v>28</v>
      </c>
      <c r="J507" s="19" t="n">
        <v>38</v>
      </c>
      <c r="K507" s="20" t="n">
        <v>42</v>
      </c>
      <c r="L507" s="21" t="n">
        <v>43</v>
      </c>
      <c r="M507" s="22" t="n">
        <v>36</v>
      </c>
      <c r="N507" s="15" t="n">
        <f aca="false">SUMPRODUCT(COUNTIF(G507:L507,번호조회!$B$4:$B$9))</f>
        <v>0</v>
      </c>
    </row>
    <row r="508" customFormat="false" ht="16.5" hidden="false" customHeight="true" outlineLevel="0" collapsed="false">
      <c r="E508" s="1" t="n">
        <f aca="false">$E$13-($F$13-F508)*7</f>
        <v>42749</v>
      </c>
      <c r="F508" s="12" t="n">
        <v>737</v>
      </c>
      <c r="G508" s="16" t="n">
        <v>13</v>
      </c>
      <c r="H508" s="17" t="n">
        <v>15</v>
      </c>
      <c r="I508" s="18" t="n">
        <v>18</v>
      </c>
      <c r="J508" s="19" t="n">
        <v>24</v>
      </c>
      <c r="K508" s="20" t="n">
        <v>27</v>
      </c>
      <c r="L508" s="21" t="n">
        <v>41</v>
      </c>
      <c r="M508" s="22" t="n">
        <v>11</v>
      </c>
      <c r="N508" s="15" t="n">
        <f aca="false">SUMPRODUCT(COUNTIF(G508:L508,번호조회!$B$4:$B$9))</f>
        <v>0</v>
      </c>
    </row>
    <row r="509" customFormat="false" ht="16.5" hidden="false" customHeight="true" outlineLevel="0" collapsed="false">
      <c r="E509" s="1" t="n">
        <f aca="false">$E$13-($F$13-F509)*7</f>
        <v>42742</v>
      </c>
      <c r="F509" s="12" t="n">
        <v>736</v>
      </c>
      <c r="G509" s="16" t="n">
        <v>2</v>
      </c>
      <c r="H509" s="17" t="n">
        <v>11</v>
      </c>
      <c r="I509" s="18" t="n">
        <v>17</v>
      </c>
      <c r="J509" s="19" t="n">
        <v>18</v>
      </c>
      <c r="K509" s="20" t="n">
        <v>21</v>
      </c>
      <c r="L509" s="21" t="n">
        <v>27</v>
      </c>
      <c r="M509" s="22" t="n">
        <v>6</v>
      </c>
      <c r="N509" s="15" t="n">
        <f aca="false">SUMPRODUCT(COUNTIF(G509:L509,번호조회!$B$4:$B$9))</f>
        <v>0</v>
      </c>
    </row>
    <row r="510" customFormat="false" ht="16.5" hidden="false" customHeight="true" outlineLevel="0" collapsed="false">
      <c r="E510" s="1" t="n">
        <f aca="false">$E$13-($F$13-F510)*7</f>
        <v>42735</v>
      </c>
      <c r="F510" s="12" t="n">
        <v>735</v>
      </c>
      <c r="G510" s="16" t="n">
        <v>5</v>
      </c>
      <c r="H510" s="17" t="n">
        <v>10</v>
      </c>
      <c r="I510" s="18" t="n">
        <v>13</v>
      </c>
      <c r="J510" s="19" t="n">
        <v>27</v>
      </c>
      <c r="K510" s="20" t="n">
        <v>37</v>
      </c>
      <c r="L510" s="21" t="n">
        <v>41</v>
      </c>
      <c r="M510" s="22" t="n">
        <v>4</v>
      </c>
      <c r="N510" s="15" t="n">
        <f aca="false">SUMPRODUCT(COUNTIF(G510:L510,번호조회!$B$4:$B$9))</f>
        <v>0</v>
      </c>
    </row>
    <row r="511" customFormat="false" ht="16.5" hidden="false" customHeight="true" outlineLevel="0" collapsed="false">
      <c r="E511" s="1" t="n">
        <f aca="false">$E$13-($F$13-F511)*7</f>
        <v>42728</v>
      </c>
      <c r="F511" s="12" t="n">
        <v>734</v>
      </c>
      <c r="G511" s="16" t="n">
        <v>6</v>
      </c>
      <c r="H511" s="17" t="n">
        <v>16</v>
      </c>
      <c r="I511" s="18" t="n">
        <v>37</v>
      </c>
      <c r="J511" s="19" t="n">
        <v>38</v>
      </c>
      <c r="K511" s="20" t="n">
        <v>41</v>
      </c>
      <c r="L511" s="21" t="n">
        <v>45</v>
      </c>
      <c r="M511" s="22" t="n">
        <v>18</v>
      </c>
      <c r="N511" s="15" t="n">
        <f aca="false">SUMPRODUCT(COUNTIF(G511:L511,번호조회!$B$4:$B$9))</f>
        <v>0</v>
      </c>
    </row>
    <row r="512" customFormat="false" ht="16.5" hidden="false" customHeight="true" outlineLevel="0" collapsed="false">
      <c r="E512" s="1" t="n">
        <f aca="false">$E$13-($F$13-F512)*7</f>
        <v>42721</v>
      </c>
      <c r="F512" s="12" t="n">
        <v>733</v>
      </c>
      <c r="G512" s="16" t="n">
        <v>11</v>
      </c>
      <c r="H512" s="17" t="n">
        <v>24</v>
      </c>
      <c r="I512" s="18" t="n">
        <v>32</v>
      </c>
      <c r="J512" s="19" t="n">
        <v>33</v>
      </c>
      <c r="K512" s="20" t="n">
        <v>35</v>
      </c>
      <c r="L512" s="21" t="n">
        <v>40</v>
      </c>
      <c r="M512" s="22" t="n">
        <v>13</v>
      </c>
      <c r="N512" s="15" t="n">
        <f aca="false">SUMPRODUCT(COUNTIF(G512:L512,번호조회!$B$4:$B$9))</f>
        <v>0</v>
      </c>
    </row>
    <row r="513" customFormat="false" ht="16.5" hidden="false" customHeight="true" outlineLevel="0" collapsed="false">
      <c r="E513" s="1" t="n">
        <f aca="false">$E$13-($F$13-F513)*7</f>
        <v>42714</v>
      </c>
      <c r="F513" s="12" t="n">
        <v>732</v>
      </c>
      <c r="G513" s="16" t="n">
        <v>2</v>
      </c>
      <c r="H513" s="17" t="n">
        <v>4</v>
      </c>
      <c r="I513" s="18" t="n">
        <v>5</v>
      </c>
      <c r="J513" s="19" t="n">
        <v>17</v>
      </c>
      <c r="K513" s="20" t="n">
        <v>27</v>
      </c>
      <c r="L513" s="21" t="n">
        <v>32</v>
      </c>
      <c r="M513" s="22" t="n">
        <v>43</v>
      </c>
      <c r="N513" s="15" t="n">
        <f aca="false">SUMPRODUCT(COUNTIF(G513:L513,번호조회!$B$4:$B$9))</f>
        <v>0</v>
      </c>
    </row>
    <row r="514" customFormat="false" ht="16.5" hidden="false" customHeight="true" outlineLevel="0" collapsed="false">
      <c r="E514" s="1" t="n">
        <f aca="false">$E$13-($F$13-F514)*7</f>
        <v>42707</v>
      </c>
      <c r="F514" s="12" t="n">
        <v>731</v>
      </c>
      <c r="G514" s="16" t="n">
        <v>2</v>
      </c>
      <c r="H514" s="17" t="n">
        <v>7</v>
      </c>
      <c r="I514" s="18" t="n">
        <v>13</v>
      </c>
      <c r="J514" s="19" t="n">
        <v>25</v>
      </c>
      <c r="K514" s="20" t="n">
        <v>42</v>
      </c>
      <c r="L514" s="21" t="n">
        <v>45</v>
      </c>
      <c r="M514" s="22" t="n">
        <v>39</v>
      </c>
      <c r="N514" s="15" t="n">
        <f aca="false">SUMPRODUCT(COUNTIF(G514:L514,번호조회!$B$4:$B$9))</f>
        <v>0</v>
      </c>
    </row>
    <row r="515" customFormat="false" ht="16.5" hidden="false" customHeight="true" outlineLevel="0" collapsed="false">
      <c r="E515" s="1" t="n">
        <f aca="false">$E$13-($F$13-F515)*7</f>
        <v>42700</v>
      </c>
      <c r="F515" s="12" t="n">
        <v>730</v>
      </c>
      <c r="G515" s="16" t="n">
        <v>4</v>
      </c>
      <c r="H515" s="17" t="n">
        <v>10</v>
      </c>
      <c r="I515" s="18" t="n">
        <v>14</v>
      </c>
      <c r="J515" s="19" t="n">
        <v>15</v>
      </c>
      <c r="K515" s="20" t="n">
        <v>18</v>
      </c>
      <c r="L515" s="21" t="n">
        <v>22</v>
      </c>
      <c r="M515" s="22" t="n">
        <v>39</v>
      </c>
      <c r="N515" s="15" t="n">
        <f aca="false">SUMPRODUCT(COUNTIF(G515:L515,번호조회!$B$4:$B$9))</f>
        <v>0</v>
      </c>
    </row>
    <row r="516" customFormat="false" ht="16.5" hidden="false" customHeight="true" outlineLevel="0" collapsed="false">
      <c r="E516" s="1" t="n">
        <f aca="false">$E$13-($F$13-F516)*7</f>
        <v>42693</v>
      </c>
      <c r="F516" s="12" t="n">
        <v>729</v>
      </c>
      <c r="G516" s="16" t="n">
        <v>11</v>
      </c>
      <c r="H516" s="17" t="n">
        <v>17</v>
      </c>
      <c r="I516" s="18" t="n">
        <v>21</v>
      </c>
      <c r="J516" s="19" t="n">
        <v>26</v>
      </c>
      <c r="K516" s="20" t="n">
        <v>36</v>
      </c>
      <c r="L516" s="21" t="n">
        <v>45</v>
      </c>
      <c r="M516" s="22" t="n">
        <v>16</v>
      </c>
      <c r="N516" s="15" t="n">
        <f aca="false">SUMPRODUCT(COUNTIF(G516:L516,번호조회!$B$4:$B$9))</f>
        <v>0</v>
      </c>
    </row>
    <row r="517" customFormat="false" ht="16.5" hidden="false" customHeight="true" outlineLevel="0" collapsed="false">
      <c r="E517" s="1" t="n">
        <f aca="false">$E$13-($F$13-F517)*7</f>
        <v>42686</v>
      </c>
      <c r="F517" s="12" t="n">
        <v>728</v>
      </c>
      <c r="G517" s="16" t="n">
        <v>3</v>
      </c>
      <c r="H517" s="17" t="n">
        <v>6</v>
      </c>
      <c r="I517" s="18" t="n">
        <v>10</v>
      </c>
      <c r="J517" s="19" t="n">
        <v>30</v>
      </c>
      <c r="K517" s="20" t="n">
        <v>34</v>
      </c>
      <c r="L517" s="21" t="n">
        <v>37</v>
      </c>
      <c r="M517" s="22" t="n">
        <v>36</v>
      </c>
      <c r="N517" s="15" t="n">
        <f aca="false">SUMPRODUCT(COUNTIF(G517:L517,번호조회!$B$4:$B$9))</f>
        <v>0</v>
      </c>
    </row>
    <row r="518" customFormat="false" ht="16.5" hidden="false" customHeight="true" outlineLevel="0" collapsed="false">
      <c r="E518" s="1" t="n">
        <f aca="false">$E$13-($F$13-F518)*7</f>
        <v>42679</v>
      </c>
      <c r="F518" s="12" t="n">
        <v>727</v>
      </c>
      <c r="G518" s="16" t="n">
        <v>7</v>
      </c>
      <c r="H518" s="17" t="n">
        <v>8</v>
      </c>
      <c r="I518" s="18" t="n">
        <v>10</v>
      </c>
      <c r="J518" s="19" t="n">
        <v>19</v>
      </c>
      <c r="K518" s="20" t="n">
        <v>21</v>
      </c>
      <c r="L518" s="21" t="n">
        <v>31</v>
      </c>
      <c r="M518" s="22" t="n">
        <v>20</v>
      </c>
      <c r="N518" s="15" t="n">
        <f aca="false">SUMPRODUCT(COUNTIF(G518:L518,번호조회!$B$4:$B$9))</f>
        <v>0</v>
      </c>
    </row>
    <row r="519" customFormat="false" ht="16.5" hidden="false" customHeight="true" outlineLevel="0" collapsed="false">
      <c r="E519" s="1" t="n">
        <f aca="false">$E$13-($F$13-F519)*7</f>
        <v>42672</v>
      </c>
      <c r="F519" s="12" t="n">
        <v>726</v>
      </c>
      <c r="G519" s="16" t="n">
        <v>1</v>
      </c>
      <c r="H519" s="17" t="n">
        <v>11</v>
      </c>
      <c r="I519" s="18" t="n">
        <v>21</v>
      </c>
      <c r="J519" s="19" t="n">
        <v>23</v>
      </c>
      <c r="K519" s="20" t="n">
        <v>34</v>
      </c>
      <c r="L519" s="21" t="n">
        <v>44</v>
      </c>
      <c r="M519" s="22" t="n">
        <v>24</v>
      </c>
      <c r="N519" s="15" t="n">
        <f aca="false">SUMPRODUCT(COUNTIF(G519:L519,번호조회!$B$4:$B$9))</f>
        <v>0</v>
      </c>
    </row>
    <row r="520" customFormat="false" ht="16.5" hidden="false" customHeight="true" outlineLevel="0" collapsed="false">
      <c r="E520" s="1" t="n">
        <f aca="false">$E$13-($F$13-F520)*7</f>
        <v>42665</v>
      </c>
      <c r="F520" s="12" t="n">
        <v>725</v>
      </c>
      <c r="G520" s="16" t="n">
        <v>6</v>
      </c>
      <c r="H520" s="17" t="n">
        <v>7</v>
      </c>
      <c r="I520" s="18" t="n">
        <v>19</v>
      </c>
      <c r="J520" s="19" t="n">
        <v>21</v>
      </c>
      <c r="K520" s="20" t="n">
        <v>41</v>
      </c>
      <c r="L520" s="21" t="n">
        <v>43</v>
      </c>
      <c r="M520" s="22" t="n">
        <v>38</v>
      </c>
      <c r="N520" s="15" t="n">
        <f aca="false">SUMPRODUCT(COUNTIF(G520:L520,번호조회!$B$4:$B$9))</f>
        <v>0</v>
      </c>
    </row>
    <row r="521" customFormat="false" ht="16.5" hidden="false" customHeight="true" outlineLevel="0" collapsed="false">
      <c r="E521" s="1" t="n">
        <f aca="false">$E$13-($F$13-F521)*7</f>
        <v>42658</v>
      </c>
      <c r="F521" s="12" t="n">
        <v>724</v>
      </c>
      <c r="G521" s="16" t="n">
        <v>2</v>
      </c>
      <c r="H521" s="17" t="n">
        <v>8</v>
      </c>
      <c r="I521" s="18" t="n">
        <v>33</v>
      </c>
      <c r="J521" s="19" t="n">
        <v>35</v>
      </c>
      <c r="K521" s="20" t="n">
        <v>37</v>
      </c>
      <c r="L521" s="21" t="n">
        <v>41</v>
      </c>
      <c r="M521" s="22" t="n">
        <v>14</v>
      </c>
      <c r="N521" s="15" t="n">
        <f aca="false">SUMPRODUCT(COUNTIF(G521:L521,번호조회!$B$4:$B$9))</f>
        <v>0</v>
      </c>
    </row>
    <row r="522" customFormat="false" ht="16.5" hidden="false" customHeight="true" outlineLevel="0" collapsed="false">
      <c r="E522" s="1" t="n">
        <f aca="false">$E$13-($F$13-F522)*7</f>
        <v>42651</v>
      </c>
      <c r="F522" s="12" t="n">
        <v>723</v>
      </c>
      <c r="G522" s="16" t="n">
        <v>20</v>
      </c>
      <c r="H522" s="17" t="n">
        <v>30</v>
      </c>
      <c r="I522" s="18" t="n">
        <v>33</v>
      </c>
      <c r="J522" s="19" t="n">
        <v>35</v>
      </c>
      <c r="K522" s="20" t="n">
        <v>36</v>
      </c>
      <c r="L522" s="21" t="n">
        <v>44</v>
      </c>
      <c r="M522" s="22" t="n">
        <v>22</v>
      </c>
      <c r="N522" s="15" t="n">
        <f aca="false">SUMPRODUCT(COUNTIF(G522:L522,번호조회!$B$4:$B$9))</f>
        <v>0</v>
      </c>
    </row>
    <row r="523" customFormat="false" ht="16.5" hidden="false" customHeight="true" outlineLevel="0" collapsed="false">
      <c r="E523" s="1" t="n">
        <f aca="false">$E$13-($F$13-F523)*7</f>
        <v>42644</v>
      </c>
      <c r="F523" s="12" t="n">
        <v>722</v>
      </c>
      <c r="G523" s="16" t="n">
        <v>12</v>
      </c>
      <c r="H523" s="17" t="n">
        <v>14</v>
      </c>
      <c r="I523" s="18" t="n">
        <v>21</v>
      </c>
      <c r="J523" s="19" t="n">
        <v>30</v>
      </c>
      <c r="K523" s="20" t="n">
        <v>39</v>
      </c>
      <c r="L523" s="21" t="n">
        <v>43</v>
      </c>
      <c r="M523" s="22" t="n">
        <v>45</v>
      </c>
      <c r="N523" s="15" t="n">
        <f aca="false">SUMPRODUCT(COUNTIF(G523:L523,번호조회!$B$4:$B$9))</f>
        <v>0</v>
      </c>
    </row>
    <row r="524" customFormat="false" ht="16.5" hidden="false" customHeight="true" outlineLevel="0" collapsed="false">
      <c r="E524" s="1" t="n">
        <f aca="false">$E$13-($F$13-F524)*7</f>
        <v>42637</v>
      </c>
      <c r="F524" s="12" t="n">
        <v>721</v>
      </c>
      <c r="G524" s="16" t="n">
        <v>1</v>
      </c>
      <c r="H524" s="17" t="n">
        <v>28</v>
      </c>
      <c r="I524" s="18" t="n">
        <v>35</v>
      </c>
      <c r="J524" s="19" t="n">
        <v>41</v>
      </c>
      <c r="K524" s="20" t="n">
        <v>43</v>
      </c>
      <c r="L524" s="21" t="n">
        <v>44</v>
      </c>
      <c r="M524" s="22" t="n">
        <v>31</v>
      </c>
      <c r="N524" s="15" t="n">
        <f aca="false">SUMPRODUCT(COUNTIF(G524:L524,번호조회!$B$4:$B$9))</f>
        <v>0</v>
      </c>
    </row>
    <row r="525" customFormat="false" ht="16.5" hidden="false" customHeight="true" outlineLevel="0" collapsed="false">
      <c r="E525" s="1" t="n">
        <f aca="false">$E$13-($F$13-F525)*7</f>
        <v>42630</v>
      </c>
      <c r="F525" s="12" t="n">
        <v>720</v>
      </c>
      <c r="G525" s="16" t="n">
        <v>1</v>
      </c>
      <c r="H525" s="17" t="n">
        <v>12</v>
      </c>
      <c r="I525" s="18" t="n">
        <v>29</v>
      </c>
      <c r="J525" s="19" t="n">
        <v>34</v>
      </c>
      <c r="K525" s="20" t="n">
        <v>36</v>
      </c>
      <c r="L525" s="21" t="n">
        <v>37</v>
      </c>
      <c r="M525" s="22" t="n">
        <v>41</v>
      </c>
      <c r="N525" s="15" t="n">
        <f aca="false">SUMPRODUCT(COUNTIF(G525:L525,번호조회!$B$4:$B$9))</f>
        <v>0</v>
      </c>
    </row>
    <row r="526" customFormat="false" ht="16.5" hidden="false" customHeight="true" outlineLevel="0" collapsed="false">
      <c r="E526" s="1" t="n">
        <f aca="false">$E$13-($F$13-F526)*7</f>
        <v>42623</v>
      </c>
      <c r="F526" s="12" t="n">
        <v>719</v>
      </c>
      <c r="G526" s="16" t="n">
        <v>4</v>
      </c>
      <c r="H526" s="17" t="n">
        <v>8</v>
      </c>
      <c r="I526" s="18" t="n">
        <v>13</v>
      </c>
      <c r="J526" s="19" t="n">
        <v>19</v>
      </c>
      <c r="K526" s="20" t="n">
        <v>20</v>
      </c>
      <c r="L526" s="21" t="n">
        <v>43</v>
      </c>
      <c r="M526" s="22" t="n">
        <v>26</v>
      </c>
      <c r="N526" s="15" t="n">
        <f aca="false">SUMPRODUCT(COUNTIF(G526:L526,번호조회!$B$4:$B$9))</f>
        <v>0</v>
      </c>
    </row>
    <row r="527" customFormat="false" ht="16.5" hidden="false" customHeight="true" outlineLevel="0" collapsed="false">
      <c r="E527" s="1" t="n">
        <f aca="false">$E$13-($F$13-F527)*7</f>
        <v>42616</v>
      </c>
      <c r="F527" s="12" t="n">
        <v>718</v>
      </c>
      <c r="G527" s="16" t="n">
        <v>4</v>
      </c>
      <c r="H527" s="17" t="n">
        <v>11</v>
      </c>
      <c r="I527" s="18" t="n">
        <v>20</v>
      </c>
      <c r="J527" s="19" t="n">
        <v>23</v>
      </c>
      <c r="K527" s="20" t="n">
        <v>32</v>
      </c>
      <c r="L527" s="21" t="n">
        <v>39</v>
      </c>
      <c r="M527" s="22" t="n">
        <v>40</v>
      </c>
      <c r="N527" s="15" t="n">
        <f aca="false">SUMPRODUCT(COUNTIF(G527:L527,번호조회!$B$4:$B$9))</f>
        <v>0</v>
      </c>
    </row>
    <row r="528" customFormat="false" ht="16.5" hidden="false" customHeight="true" outlineLevel="0" collapsed="false">
      <c r="E528" s="1" t="n">
        <f aca="false">$E$13-($F$13-F528)*7</f>
        <v>42609</v>
      </c>
      <c r="F528" s="12" t="n">
        <v>717</v>
      </c>
      <c r="G528" s="16" t="n">
        <v>2</v>
      </c>
      <c r="H528" s="17" t="n">
        <v>11</v>
      </c>
      <c r="I528" s="18" t="n">
        <v>19</v>
      </c>
      <c r="J528" s="19" t="n">
        <v>25</v>
      </c>
      <c r="K528" s="20" t="n">
        <v>28</v>
      </c>
      <c r="L528" s="21" t="n">
        <v>32</v>
      </c>
      <c r="M528" s="22" t="n">
        <v>44</v>
      </c>
      <c r="N528" s="15" t="n">
        <f aca="false">SUMPRODUCT(COUNTIF(G528:L528,번호조회!$B$4:$B$9))</f>
        <v>0</v>
      </c>
    </row>
    <row r="529" customFormat="false" ht="16.5" hidden="false" customHeight="true" outlineLevel="0" collapsed="false">
      <c r="E529" s="1" t="n">
        <f aca="false">$E$13-($F$13-F529)*7</f>
        <v>42602</v>
      </c>
      <c r="F529" s="12" t="n">
        <v>716</v>
      </c>
      <c r="G529" s="16" t="n">
        <v>2</v>
      </c>
      <c r="H529" s="17" t="n">
        <v>6</v>
      </c>
      <c r="I529" s="18" t="n">
        <v>13</v>
      </c>
      <c r="J529" s="19" t="n">
        <v>16</v>
      </c>
      <c r="K529" s="20" t="n">
        <v>29</v>
      </c>
      <c r="L529" s="21" t="n">
        <v>30</v>
      </c>
      <c r="M529" s="22" t="n">
        <v>21</v>
      </c>
      <c r="N529" s="15" t="n">
        <f aca="false">SUMPRODUCT(COUNTIF(G529:L529,번호조회!$B$4:$B$9))</f>
        <v>0</v>
      </c>
    </row>
    <row r="530" customFormat="false" ht="16.5" hidden="false" customHeight="true" outlineLevel="0" collapsed="false">
      <c r="E530" s="1" t="n">
        <f aca="false">$E$13-($F$13-F530)*7</f>
        <v>42595</v>
      </c>
      <c r="F530" s="12" t="n">
        <v>715</v>
      </c>
      <c r="G530" s="16" t="n">
        <v>2</v>
      </c>
      <c r="H530" s="17" t="n">
        <v>7</v>
      </c>
      <c r="I530" s="18" t="n">
        <v>27</v>
      </c>
      <c r="J530" s="19" t="n">
        <v>33</v>
      </c>
      <c r="K530" s="20" t="n">
        <v>41</v>
      </c>
      <c r="L530" s="21" t="n">
        <v>44</v>
      </c>
      <c r="M530" s="22" t="n">
        <v>10</v>
      </c>
      <c r="N530" s="15" t="n">
        <f aca="false">SUMPRODUCT(COUNTIF(G530:L530,번호조회!$B$4:$B$9))</f>
        <v>0</v>
      </c>
    </row>
    <row r="531" customFormat="false" ht="16.5" hidden="false" customHeight="true" outlineLevel="0" collapsed="false">
      <c r="E531" s="1" t="n">
        <f aca="false">$E$13-($F$13-F531)*7</f>
        <v>42588</v>
      </c>
      <c r="F531" s="12" t="n">
        <v>714</v>
      </c>
      <c r="G531" s="16" t="n">
        <v>1</v>
      </c>
      <c r="H531" s="17" t="n">
        <v>7</v>
      </c>
      <c r="I531" s="18" t="n">
        <v>22</v>
      </c>
      <c r="J531" s="19" t="n">
        <v>33</v>
      </c>
      <c r="K531" s="20" t="n">
        <v>37</v>
      </c>
      <c r="L531" s="21" t="n">
        <v>40</v>
      </c>
      <c r="M531" s="22" t="n">
        <v>20</v>
      </c>
      <c r="N531" s="15" t="n">
        <f aca="false">SUMPRODUCT(COUNTIF(G531:L531,번호조회!$B$4:$B$9))</f>
        <v>0</v>
      </c>
    </row>
    <row r="532" customFormat="false" ht="16.5" hidden="false" customHeight="true" outlineLevel="0" collapsed="false">
      <c r="E532" s="1" t="n">
        <f aca="false">$E$13-($F$13-F532)*7</f>
        <v>42581</v>
      </c>
      <c r="F532" s="12" t="n">
        <v>713</v>
      </c>
      <c r="G532" s="16" t="n">
        <v>2</v>
      </c>
      <c r="H532" s="17" t="n">
        <v>5</v>
      </c>
      <c r="I532" s="18" t="n">
        <v>15</v>
      </c>
      <c r="J532" s="19" t="n">
        <v>18</v>
      </c>
      <c r="K532" s="20" t="n">
        <v>19</v>
      </c>
      <c r="L532" s="21" t="n">
        <v>23</v>
      </c>
      <c r="M532" s="22" t="n">
        <v>44</v>
      </c>
      <c r="N532" s="15" t="n">
        <f aca="false">SUMPRODUCT(COUNTIF(G532:L532,번호조회!$B$4:$B$9))</f>
        <v>0</v>
      </c>
    </row>
    <row r="533" customFormat="false" ht="16.5" hidden="false" customHeight="true" outlineLevel="0" collapsed="false">
      <c r="E533" s="1" t="n">
        <f aca="false">$E$13-($F$13-F533)*7</f>
        <v>42574</v>
      </c>
      <c r="F533" s="12" t="n">
        <v>712</v>
      </c>
      <c r="G533" s="16" t="n">
        <v>17</v>
      </c>
      <c r="H533" s="17" t="n">
        <v>20</v>
      </c>
      <c r="I533" s="18" t="n">
        <v>30</v>
      </c>
      <c r="J533" s="19" t="n">
        <v>31</v>
      </c>
      <c r="K533" s="20" t="n">
        <v>33</v>
      </c>
      <c r="L533" s="21" t="n">
        <v>45</v>
      </c>
      <c r="M533" s="22" t="n">
        <v>19</v>
      </c>
      <c r="N533" s="15" t="n">
        <f aca="false">SUMPRODUCT(COUNTIF(G533:L533,번호조회!$B$4:$B$9))</f>
        <v>0</v>
      </c>
    </row>
    <row r="534" customFormat="false" ht="16.5" hidden="false" customHeight="true" outlineLevel="0" collapsed="false">
      <c r="E534" s="1" t="n">
        <f aca="false">$E$13-($F$13-F534)*7</f>
        <v>42567</v>
      </c>
      <c r="F534" s="12" t="n">
        <v>711</v>
      </c>
      <c r="G534" s="16" t="n">
        <v>11</v>
      </c>
      <c r="H534" s="17" t="n">
        <v>15</v>
      </c>
      <c r="I534" s="18" t="n">
        <v>24</v>
      </c>
      <c r="J534" s="19" t="n">
        <v>35</v>
      </c>
      <c r="K534" s="20" t="n">
        <v>37</v>
      </c>
      <c r="L534" s="21" t="n">
        <v>45</v>
      </c>
      <c r="M534" s="22" t="n">
        <v>42</v>
      </c>
      <c r="N534" s="15" t="n">
        <f aca="false">SUMPRODUCT(COUNTIF(G534:L534,번호조회!$B$4:$B$9))</f>
        <v>0</v>
      </c>
    </row>
    <row r="535" customFormat="false" ht="16.5" hidden="false" customHeight="true" outlineLevel="0" collapsed="false">
      <c r="E535" s="1" t="n">
        <f aca="false">$E$13-($F$13-F535)*7</f>
        <v>42560</v>
      </c>
      <c r="F535" s="12" t="n">
        <v>710</v>
      </c>
      <c r="G535" s="16" t="n">
        <v>3</v>
      </c>
      <c r="H535" s="17" t="n">
        <v>4</v>
      </c>
      <c r="I535" s="18" t="n">
        <v>9</v>
      </c>
      <c r="J535" s="19" t="n">
        <v>24</v>
      </c>
      <c r="K535" s="20" t="n">
        <v>25</v>
      </c>
      <c r="L535" s="21" t="n">
        <v>33</v>
      </c>
      <c r="M535" s="22" t="n">
        <v>10</v>
      </c>
      <c r="N535" s="15" t="n">
        <f aca="false">SUMPRODUCT(COUNTIF(G535:L535,번호조회!$B$4:$B$9))</f>
        <v>0</v>
      </c>
    </row>
    <row r="536" customFormat="false" ht="16.5" hidden="false" customHeight="true" outlineLevel="0" collapsed="false">
      <c r="E536" s="1" t="n">
        <f aca="false">$E$13-($F$13-F536)*7</f>
        <v>42553</v>
      </c>
      <c r="F536" s="12" t="n">
        <v>709</v>
      </c>
      <c r="G536" s="16" t="n">
        <v>10</v>
      </c>
      <c r="H536" s="17" t="n">
        <v>18</v>
      </c>
      <c r="I536" s="18" t="n">
        <v>30</v>
      </c>
      <c r="J536" s="19" t="n">
        <v>36</v>
      </c>
      <c r="K536" s="20" t="n">
        <v>39</v>
      </c>
      <c r="L536" s="21" t="n">
        <v>44</v>
      </c>
      <c r="M536" s="22" t="n">
        <v>32</v>
      </c>
      <c r="N536" s="15" t="n">
        <f aca="false">SUMPRODUCT(COUNTIF(G536:L536,번호조회!$B$4:$B$9))</f>
        <v>0</v>
      </c>
    </row>
    <row r="537" customFormat="false" ht="16.5" hidden="false" customHeight="true" outlineLevel="0" collapsed="false">
      <c r="E537" s="1" t="n">
        <f aca="false">$E$13-($F$13-F537)*7</f>
        <v>42546</v>
      </c>
      <c r="F537" s="12" t="n">
        <v>708</v>
      </c>
      <c r="G537" s="16" t="n">
        <v>2</v>
      </c>
      <c r="H537" s="17" t="n">
        <v>10</v>
      </c>
      <c r="I537" s="18" t="n">
        <v>16</v>
      </c>
      <c r="J537" s="19" t="n">
        <v>19</v>
      </c>
      <c r="K537" s="20" t="n">
        <v>34</v>
      </c>
      <c r="L537" s="21" t="n">
        <v>45</v>
      </c>
      <c r="M537" s="22" t="n">
        <v>1</v>
      </c>
      <c r="N537" s="15" t="n">
        <f aca="false">SUMPRODUCT(COUNTIF(G537:L537,번호조회!$B$4:$B$9))</f>
        <v>0</v>
      </c>
    </row>
    <row r="538" customFormat="false" ht="16.5" hidden="false" customHeight="true" outlineLevel="0" collapsed="false">
      <c r="E538" s="1" t="n">
        <f aca="false">$E$13-($F$13-F538)*7</f>
        <v>42539</v>
      </c>
      <c r="F538" s="12" t="n">
        <v>707</v>
      </c>
      <c r="G538" s="16" t="n">
        <v>2</v>
      </c>
      <c r="H538" s="17" t="n">
        <v>12</v>
      </c>
      <c r="I538" s="18" t="n">
        <v>19</v>
      </c>
      <c r="J538" s="19" t="n">
        <v>24</v>
      </c>
      <c r="K538" s="20" t="n">
        <v>39</v>
      </c>
      <c r="L538" s="21" t="n">
        <v>44</v>
      </c>
      <c r="M538" s="22" t="n">
        <v>35</v>
      </c>
      <c r="N538" s="15" t="n">
        <f aca="false">SUMPRODUCT(COUNTIF(G538:L538,번호조회!$B$4:$B$9))</f>
        <v>0</v>
      </c>
    </row>
    <row r="539" customFormat="false" ht="16.5" hidden="false" customHeight="true" outlineLevel="0" collapsed="false">
      <c r="E539" s="1" t="n">
        <f aca="false">$E$13-($F$13-F539)*7</f>
        <v>42532</v>
      </c>
      <c r="F539" s="12" t="n">
        <v>706</v>
      </c>
      <c r="G539" s="16" t="n">
        <v>3</v>
      </c>
      <c r="H539" s="17" t="n">
        <v>4</v>
      </c>
      <c r="I539" s="18" t="n">
        <v>6</v>
      </c>
      <c r="J539" s="19" t="n">
        <v>10</v>
      </c>
      <c r="K539" s="20" t="n">
        <v>28</v>
      </c>
      <c r="L539" s="21" t="n">
        <v>30</v>
      </c>
      <c r="M539" s="22" t="n">
        <v>37</v>
      </c>
      <c r="N539" s="15" t="n">
        <f aca="false">SUMPRODUCT(COUNTIF(G539:L539,번호조회!$B$4:$B$9))</f>
        <v>0</v>
      </c>
    </row>
    <row r="540" customFormat="false" ht="16.5" hidden="false" customHeight="true" outlineLevel="0" collapsed="false">
      <c r="E540" s="1" t="n">
        <f aca="false">$E$13-($F$13-F540)*7</f>
        <v>42525</v>
      </c>
      <c r="F540" s="12" t="n">
        <v>705</v>
      </c>
      <c r="G540" s="16" t="n">
        <v>1</v>
      </c>
      <c r="H540" s="17" t="n">
        <v>6</v>
      </c>
      <c r="I540" s="18" t="n">
        <v>17</v>
      </c>
      <c r="J540" s="19" t="n">
        <v>22</v>
      </c>
      <c r="K540" s="20" t="n">
        <v>28</v>
      </c>
      <c r="L540" s="21" t="n">
        <v>45</v>
      </c>
      <c r="M540" s="22" t="n">
        <v>23</v>
      </c>
      <c r="N540" s="15" t="n">
        <f aca="false">SUMPRODUCT(COUNTIF(G540:L540,번호조회!$B$4:$B$9))</f>
        <v>0</v>
      </c>
    </row>
    <row r="541" customFormat="false" ht="16.5" hidden="false" customHeight="true" outlineLevel="0" collapsed="false">
      <c r="E541" s="1" t="n">
        <f aca="false">$E$13-($F$13-F541)*7</f>
        <v>42518</v>
      </c>
      <c r="F541" s="12" t="n">
        <v>704</v>
      </c>
      <c r="G541" s="16" t="n">
        <v>1</v>
      </c>
      <c r="H541" s="17" t="n">
        <v>4</v>
      </c>
      <c r="I541" s="18" t="n">
        <v>8</v>
      </c>
      <c r="J541" s="19" t="n">
        <v>23</v>
      </c>
      <c r="K541" s="20" t="n">
        <v>33</v>
      </c>
      <c r="L541" s="21" t="n">
        <v>42</v>
      </c>
      <c r="M541" s="22" t="n">
        <v>45</v>
      </c>
      <c r="N541" s="15" t="n">
        <f aca="false">SUMPRODUCT(COUNTIF(G541:L541,번호조회!$B$4:$B$9))</f>
        <v>0</v>
      </c>
    </row>
    <row r="542" customFormat="false" ht="16.5" hidden="false" customHeight="true" outlineLevel="0" collapsed="false">
      <c r="E542" s="1" t="n">
        <f aca="false">$E$13-($F$13-F542)*7</f>
        <v>42511</v>
      </c>
      <c r="F542" s="12" t="n">
        <v>703</v>
      </c>
      <c r="G542" s="16" t="n">
        <v>10</v>
      </c>
      <c r="H542" s="17" t="n">
        <v>28</v>
      </c>
      <c r="I542" s="18" t="n">
        <v>31</v>
      </c>
      <c r="J542" s="19" t="n">
        <v>33</v>
      </c>
      <c r="K542" s="20" t="n">
        <v>41</v>
      </c>
      <c r="L542" s="21" t="n">
        <v>44</v>
      </c>
      <c r="M542" s="22" t="n">
        <v>21</v>
      </c>
      <c r="N542" s="15" t="n">
        <f aca="false">SUMPRODUCT(COUNTIF(G542:L542,번호조회!$B$4:$B$9))</f>
        <v>0</v>
      </c>
    </row>
    <row r="543" customFormat="false" ht="16.5" hidden="false" customHeight="true" outlineLevel="0" collapsed="false">
      <c r="E543" s="1" t="n">
        <f aca="false">$E$13-($F$13-F543)*7</f>
        <v>42504</v>
      </c>
      <c r="F543" s="12" t="n">
        <v>702</v>
      </c>
      <c r="G543" s="16" t="n">
        <v>3</v>
      </c>
      <c r="H543" s="17" t="n">
        <v>13</v>
      </c>
      <c r="I543" s="18" t="n">
        <v>16</v>
      </c>
      <c r="J543" s="19" t="n">
        <v>24</v>
      </c>
      <c r="K543" s="20" t="n">
        <v>26</v>
      </c>
      <c r="L543" s="21" t="n">
        <v>29</v>
      </c>
      <c r="M543" s="22" t="n">
        <v>9</v>
      </c>
      <c r="N543" s="15" t="n">
        <f aca="false">SUMPRODUCT(COUNTIF(G543:L543,번호조회!$B$4:$B$9))</f>
        <v>0</v>
      </c>
    </row>
    <row r="544" customFormat="false" ht="16.5" hidden="false" customHeight="true" outlineLevel="0" collapsed="false">
      <c r="E544" s="1" t="n">
        <f aca="false">$E$13-($F$13-F544)*7</f>
        <v>42497</v>
      </c>
      <c r="F544" s="12" t="n">
        <v>701</v>
      </c>
      <c r="G544" s="16" t="n">
        <v>3</v>
      </c>
      <c r="H544" s="17" t="n">
        <v>10</v>
      </c>
      <c r="I544" s="18" t="n">
        <v>14</v>
      </c>
      <c r="J544" s="19" t="n">
        <v>16</v>
      </c>
      <c r="K544" s="20" t="n">
        <v>36</v>
      </c>
      <c r="L544" s="21" t="n">
        <v>38</v>
      </c>
      <c r="M544" s="22" t="n">
        <v>35</v>
      </c>
      <c r="N544" s="15" t="n">
        <f aca="false">SUMPRODUCT(COUNTIF(G544:L544,번호조회!$B$4:$B$9))</f>
        <v>0</v>
      </c>
    </row>
    <row r="545" customFormat="false" ht="16.5" hidden="false" customHeight="true" outlineLevel="0" collapsed="false">
      <c r="E545" s="1" t="n">
        <f aca="false">$E$13-($F$13-F545)*7</f>
        <v>42490</v>
      </c>
      <c r="F545" s="12" t="n">
        <v>700</v>
      </c>
      <c r="G545" s="16" t="n">
        <v>11</v>
      </c>
      <c r="H545" s="17" t="n">
        <v>23</v>
      </c>
      <c r="I545" s="18" t="n">
        <v>28</v>
      </c>
      <c r="J545" s="19" t="n">
        <v>29</v>
      </c>
      <c r="K545" s="20" t="n">
        <v>30</v>
      </c>
      <c r="L545" s="21" t="n">
        <v>44</v>
      </c>
      <c r="M545" s="22" t="n">
        <v>13</v>
      </c>
      <c r="N545" s="15" t="n">
        <f aca="false">SUMPRODUCT(COUNTIF(G545:L545,번호조회!$B$4:$B$9))</f>
        <v>0</v>
      </c>
    </row>
    <row r="546" customFormat="false" ht="16.5" hidden="false" customHeight="true" outlineLevel="0" collapsed="false">
      <c r="E546" s="1" t="n">
        <f aca="false">$E$13-($F$13-F546)*7</f>
        <v>42483</v>
      </c>
      <c r="F546" s="12" t="n">
        <v>699</v>
      </c>
      <c r="G546" s="16" t="n">
        <v>4</v>
      </c>
      <c r="H546" s="17" t="n">
        <v>5</v>
      </c>
      <c r="I546" s="18" t="n">
        <v>8</v>
      </c>
      <c r="J546" s="19" t="n">
        <v>16</v>
      </c>
      <c r="K546" s="20" t="n">
        <v>21</v>
      </c>
      <c r="L546" s="21" t="n">
        <v>29</v>
      </c>
      <c r="M546" s="22" t="n">
        <v>3</v>
      </c>
      <c r="N546" s="15" t="n">
        <f aca="false">SUMPRODUCT(COUNTIF(G546:L546,번호조회!$B$4:$B$9))</f>
        <v>0</v>
      </c>
    </row>
    <row r="547" customFormat="false" ht="16.5" hidden="false" customHeight="true" outlineLevel="0" collapsed="false">
      <c r="E547" s="1" t="n">
        <f aca="false">$E$13-($F$13-F547)*7</f>
        <v>42476</v>
      </c>
      <c r="F547" s="12" t="n">
        <v>698</v>
      </c>
      <c r="G547" s="16" t="n">
        <v>3</v>
      </c>
      <c r="H547" s="17" t="n">
        <v>11</v>
      </c>
      <c r="I547" s="18" t="n">
        <v>13</v>
      </c>
      <c r="J547" s="19" t="n">
        <v>21</v>
      </c>
      <c r="K547" s="20" t="n">
        <v>33</v>
      </c>
      <c r="L547" s="21" t="n">
        <v>37</v>
      </c>
      <c r="M547" s="22" t="n">
        <v>18</v>
      </c>
      <c r="N547" s="15" t="n">
        <f aca="false">SUMPRODUCT(COUNTIF(G547:L547,번호조회!$B$4:$B$9))</f>
        <v>0</v>
      </c>
    </row>
    <row r="548" customFormat="false" ht="16.5" hidden="false" customHeight="true" outlineLevel="0" collapsed="false">
      <c r="E548" s="1" t="n">
        <f aca="false">$E$13-($F$13-F548)*7</f>
        <v>42469</v>
      </c>
      <c r="F548" s="12" t="n">
        <v>697</v>
      </c>
      <c r="G548" s="16" t="n">
        <v>2</v>
      </c>
      <c r="H548" s="17" t="n">
        <v>5</v>
      </c>
      <c r="I548" s="18" t="n">
        <v>8</v>
      </c>
      <c r="J548" s="19" t="n">
        <v>11</v>
      </c>
      <c r="K548" s="20" t="n">
        <v>33</v>
      </c>
      <c r="L548" s="21" t="n">
        <v>39</v>
      </c>
      <c r="M548" s="22" t="n">
        <v>31</v>
      </c>
      <c r="N548" s="15" t="n">
        <f aca="false">SUMPRODUCT(COUNTIF(G548:L548,번호조회!$B$4:$B$9))</f>
        <v>0</v>
      </c>
    </row>
    <row r="549" customFormat="false" ht="16.5" hidden="false" customHeight="true" outlineLevel="0" collapsed="false">
      <c r="E549" s="1" t="n">
        <f aca="false">$E$13-($F$13-F549)*7</f>
        <v>42462</v>
      </c>
      <c r="F549" s="12" t="n">
        <v>696</v>
      </c>
      <c r="G549" s="16" t="n">
        <v>1</v>
      </c>
      <c r="H549" s="17" t="n">
        <v>7</v>
      </c>
      <c r="I549" s="18" t="n">
        <v>16</v>
      </c>
      <c r="J549" s="19" t="n">
        <v>18</v>
      </c>
      <c r="K549" s="20" t="n">
        <v>34</v>
      </c>
      <c r="L549" s="21" t="n">
        <v>38</v>
      </c>
      <c r="M549" s="22" t="n">
        <v>21</v>
      </c>
      <c r="N549" s="15" t="n">
        <f aca="false">SUMPRODUCT(COUNTIF(G549:L549,번호조회!$B$4:$B$9))</f>
        <v>0</v>
      </c>
    </row>
    <row r="550" customFormat="false" ht="16.5" hidden="false" customHeight="true" outlineLevel="0" collapsed="false">
      <c r="E550" s="1" t="n">
        <f aca="false">$E$13-($F$13-F550)*7</f>
        <v>42455</v>
      </c>
      <c r="F550" s="12" t="n">
        <v>695</v>
      </c>
      <c r="G550" s="16" t="n">
        <v>4</v>
      </c>
      <c r="H550" s="17" t="n">
        <v>18</v>
      </c>
      <c r="I550" s="18" t="n">
        <v>26</v>
      </c>
      <c r="J550" s="19" t="n">
        <v>33</v>
      </c>
      <c r="K550" s="20" t="n">
        <v>34</v>
      </c>
      <c r="L550" s="21" t="n">
        <v>38</v>
      </c>
      <c r="M550" s="22" t="n">
        <v>14</v>
      </c>
      <c r="N550" s="15" t="n">
        <f aca="false">SUMPRODUCT(COUNTIF(G550:L550,번호조회!$B$4:$B$9))</f>
        <v>0</v>
      </c>
    </row>
    <row r="551" customFormat="false" ht="16.5" hidden="false" customHeight="true" outlineLevel="0" collapsed="false">
      <c r="E551" s="1" t="n">
        <f aca="false">$E$13-($F$13-F551)*7</f>
        <v>42448</v>
      </c>
      <c r="F551" s="12" t="n">
        <v>694</v>
      </c>
      <c r="G551" s="16" t="n">
        <v>7</v>
      </c>
      <c r="H551" s="17" t="n">
        <v>15</v>
      </c>
      <c r="I551" s="18" t="n">
        <v>20</v>
      </c>
      <c r="J551" s="19" t="n">
        <v>25</v>
      </c>
      <c r="K551" s="20" t="n">
        <v>33</v>
      </c>
      <c r="L551" s="21" t="n">
        <v>43</v>
      </c>
      <c r="M551" s="22" t="n">
        <v>12</v>
      </c>
      <c r="N551" s="15" t="n">
        <f aca="false">SUMPRODUCT(COUNTIF(G551:L551,번호조회!$B$4:$B$9))</f>
        <v>0</v>
      </c>
    </row>
    <row r="552" customFormat="false" ht="16.5" hidden="false" customHeight="true" outlineLevel="0" collapsed="false">
      <c r="E552" s="1" t="n">
        <f aca="false">$E$13-($F$13-F552)*7</f>
        <v>42441</v>
      </c>
      <c r="F552" s="12" t="n">
        <v>693</v>
      </c>
      <c r="G552" s="16" t="n">
        <v>1</v>
      </c>
      <c r="H552" s="17" t="n">
        <v>6</v>
      </c>
      <c r="I552" s="18" t="n">
        <v>11</v>
      </c>
      <c r="J552" s="19" t="n">
        <v>28</v>
      </c>
      <c r="K552" s="20" t="n">
        <v>34</v>
      </c>
      <c r="L552" s="21" t="n">
        <v>42</v>
      </c>
      <c r="M552" s="22" t="n">
        <v>30</v>
      </c>
      <c r="N552" s="15" t="n">
        <f aca="false">SUMPRODUCT(COUNTIF(G552:L552,번호조회!$B$4:$B$9))</f>
        <v>0</v>
      </c>
    </row>
    <row r="553" customFormat="false" ht="16.5" hidden="false" customHeight="true" outlineLevel="0" collapsed="false">
      <c r="E553" s="1" t="n">
        <f aca="false">$E$13-($F$13-F553)*7</f>
        <v>42434</v>
      </c>
      <c r="F553" s="12" t="n">
        <v>692</v>
      </c>
      <c r="G553" s="16" t="n">
        <v>3</v>
      </c>
      <c r="H553" s="17" t="n">
        <v>11</v>
      </c>
      <c r="I553" s="18" t="n">
        <v>14</v>
      </c>
      <c r="J553" s="19" t="n">
        <v>15</v>
      </c>
      <c r="K553" s="20" t="n">
        <v>32</v>
      </c>
      <c r="L553" s="21" t="n">
        <v>36</v>
      </c>
      <c r="M553" s="22" t="n">
        <v>44</v>
      </c>
      <c r="N553" s="15" t="n">
        <f aca="false">SUMPRODUCT(COUNTIF(G553:L553,번호조회!$B$4:$B$9))</f>
        <v>0</v>
      </c>
    </row>
    <row r="554" customFormat="false" ht="16.5" hidden="false" customHeight="true" outlineLevel="0" collapsed="false">
      <c r="E554" s="1" t="n">
        <f aca="false">$E$13-($F$13-F554)*7</f>
        <v>42427</v>
      </c>
      <c r="F554" s="12" t="n">
        <v>691</v>
      </c>
      <c r="G554" s="16" t="n">
        <v>15</v>
      </c>
      <c r="H554" s="17" t="n">
        <v>27</v>
      </c>
      <c r="I554" s="18" t="n">
        <v>33</v>
      </c>
      <c r="J554" s="19" t="n">
        <v>35</v>
      </c>
      <c r="K554" s="20" t="n">
        <v>43</v>
      </c>
      <c r="L554" s="21" t="n">
        <v>45</v>
      </c>
      <c r="M554" s="22" t="n">
        <v>16</v>
      </c>
      <c r="N554" s="15" t="n">
        <f aca="false">SUMPRODUCT(COUNTIF(G554:L554,번호조회!$B$4:$B$9))</f>
        <v>0</v>
      </c>
    </row>
    <row r="555" customFormat="false" ht="16.5" hidden="false" customHeight="true" outlineLevel="0" collapsed="false">
      <c r="E555" s="1" t="n">
        <f aca="false">$E$13-($F$13-F555)*7</f>
        <v>42420</v>
      </c>
      <c r="F555" s="12" t="n">
        <v>690</v>
      </c>
      <c r="G555" s="16" t="n">
        <v>24</v>
      </c>
      <c r="H555" s="17" t="n">
        <v>25</v>
      </c>
      <c r="I555" s="18" t="n">
        <v>33</v>
      </c>
      <c r="J555" s="19" t="n">
        <v>34</v>
      </c>
      <c r="K555" s="20" t="n">
        <v>38</v>
      </c>
      <c r="L555" s="21" t="n">
        <v>39</v>
      </c>
      <c r="M555" s="22" t="n">
        <v>43</v>
      </c>
      <c r="N555" s="15" t="n">
        <f aca="false">SUMPRODUCT(COUNTIF(G555:L555,번호조회!$B$4:$B$9))</f>
        <v>0</v>
      </c>
    </row>
    <row r="556" customFormat="false" ht="16.5" hidden="false" customHeight="true" outlineLevel="0" collapsed="false">
      <c r="E556" s="1" t="n">
        <f aca="false">$E$13-($F$13-F556)*7</f>
        <v>42413</v>
      </c>
      <c r="F556" s="12" t="n">
        <v>689</v>
      </c>
      <c r="G556" s="16" t="n">
        <v>7</v>
      </c>
      <c r="H556" s="17" t="n">
        <v>17</v>
      </c>
      <c r="I556" s="18" t="n">
        <v>19</v>
      </c>
      <c r="J556" s="19" t="n">
        <v>30</v>
      </c>
      <c r="K556" s="20" t="n">
        <v>36</v>
      </c>
      <c r="L556" s="21" t="n">
        <v>38</v>
      </c>
      <c r="M556" s="22" t="n">
        <v>34</v>
      </c>
      <c r="N556" s="15" t="n">
        <f aca="false">SUMPRODUCT(COUNTIF(G556:L556,번호조회!$B$4:$B$9))</f>
        <v>0</v>
      </c>
    </row>
    <row r="557" customFormat="false" ht="16.5" hidden="false" customHeight="true" outlineLevel="0" collapsed="false">
      <c r="E557" s="1" t="n">
        <f aca="false">$E$13-($F$13-F557)*7</f>
        <v>42406</v>
      </c>
      <c r="F557" s="12" t="n">
        <v>688</v>
      </c>
      <c r="G557" s="16" t="n">
        <v>5</v>
      </c>
      <c r="H557" s="17" t="n">
        <v>15</v>
      </c>
      <c r="I557" s="18" t="n">
        <v>22</v>
      </c>
      <c r="J557" s="19" t="n">
        <v>23</v>
      </c>
      <c r="K557" s="20" t="n">
        <v>34</v>
      </c>
      <c r="L557" s="21" t="n">
        <v>35</v>
      </c>
      <c r="M557" s="22" t="n">
        <v>2</v>
      </c>
      <c r="N557" s="15" t="n">
        <f aca="false">SUMPRODUCT(COUNTIF(G557:L557,번호조회!$B$4:$B$9))</f>
        <v>0</v>
      </c>
    </row>
    <row r="558" customFormat="false" ht="16.5" hidden="false" customHeight="true" outlineLevel="0" collapsed="false">
      <c r="E558" s="1" t="n">
        <f aca="false">$E$13-($F$13-F558)*7</f>
        <v>42399</v>
      </c>
      <c r="F558" s="12" t="n">
        <v>687</v>
      </c>
      <c r="G558" s="16" t="n">
        <v>1</v>
      </c>
      <c r="H558" s="17" t="n">
        <v>8</v>
      </c>
      <c r="I558" s="18" t="n">
        <v>10</v>
      </c>
      <c r="J558" s="19" t="n">
        <v>13</v>
      </c>
      <c r="K558" s="20" t="n">
        <v>28</v>
      </c>
      <c r="L558" s="21" t="n">
        <v>42</v>
      </c>
      <c r="M558" s="22" t="n">
        <v>45</v>
      </c>
      <c r="N558" s="15" t="n">
        <f aca="false">SUMPRODUCT(COUNTIF(G558:L558,번호조회!$B$4:$B$9))</f>
        <v>0</v>
      </c>
    </row>
    <row r="559" customFormat="false" ht="16.5" hidden="false" customHeight="true" outlineLevel="0" collapsed="false">
      <c r="E559" s="1" t="n">
        <f aca="false">$E$13-($F$13-F559)*7</f>
        <v>42392</v>
      </c>
      <c r="F559" s="12" t="n">
        <v>686</v>
      </c>
      <c r="G559" s="16" t="n">
        <v>7</v>
      </c>
      <c r="H559" s="17" t="n">
        <v>12</v>
      </c>
      <c r="I559" s="18" t="n">
        <v>15</v>
      </c>
      <c r="J559" s="19" t="n">
        <v>24</v>
      </c>
      <c r="K559" s="20" t="n">
        <v>25</v>
      </c>
      <c r="L559" s="21" t="n">
        <v>43</v>
      </c>
      <c r="M559" s="22" t="n">
        <v>13</v>
      </c>
      <c r="N559" s="15" t="n">
        <f aca="false">SUMPRODUCT(COUNTIF(G559:L559,번호조회!$B$4:$B$9))</f>
        <v>0</v>
      </c>
    </row>
    <row r="560" customFormat="false" ht="16.5" hidden="false" customHeight="true" outlineLevel="0" collapsed="false">
      <c r="E560" s="1" t="n">
        <f aca="false">$E$13-($F$13-F560)*7</f>
        <v>42385</v>
      </c>
      <c r="F560" s="12" t="n">
        <v>685</v>
      </c>
      <c r="G560" s="16" t="n">
        <v>6</v>
      </c>
      <c r="H560" s="17" t="n">
        <v>7</v>
      </c>
      <c r="I560" s="18" t="n">
        <v>12</v>
      </c>
      <c r="J560" s="19" t="n">
        <v>28</v>
      </c>
      <c r="K560" s="20" t="n">
        <v>38</v>
      </c>
      <c r="L560" s="21" t="n">
        <v>40</v>
      </c>
      <c r="M560" s="22" t="n">
        <v>18</v>
      </c>
      <c r="N560" s="15" t="n">
        <f aca="false">SUMPRODUCT(COUNTIF(G560:L560,번호조회!$B$4:$B$9))</f>
        <v>0</v>
      </c>
    </row>
    <row r="561" customFormat="false" ht="16.5" hidden="false" customHeight="true" outlineLevel="0" collapsed="false">
      <c r="E561" s="1" t="n">
        <f aca="false">$E$13-($F$13-F561)*7</f>
        <v>42378</v>
      </c>
      <c r="F561" s="12" t="n">
        <v>684</v>
      </c>
      <c r="G561" s="16" t="n">
        <v>1</v>
      </c>
      <c r="H561" s="17" t="n">
        <v>11</v>
      </c>
      <c r="I561" s="18" t="n">
        <v>15</v>
      </c>
      <c r="J561" s="19" t="n">
        <v>17</v>
      </c>
      <c r="K561" s="20" t="n">
        <v>25</v>
      </c>
      <c r="L561" s="21" t="n">
        <v>39</v>
      </c>
      <c r="M561" s="22" t="n">
        <v>40</v>
      </c>
      <c r="N561" s="15" t="n">
        <f aca="false">SUMPRODUCT(COUNTIF(G561:L561,번호조회!$B$4:$B$9))</f>
        <v>0</v>
      </c>
    </row>
    <row r="562" customFormat="false" ht="16.5" hidden="false" customHeight="true" outlineLevel="0" collapsed="false">
      <c r="E562" s="1" t="n">
        <f aca="false">$E$13-($F$13-F562)*7</f>
        <v>42371</v>
      </c>
      <c r="F562" s="12" t="n">
        <v>683</v>
      </c>
      <c r="G562" s="16" t="n">
        <v>6</v>
      </c>
      <c r="H562" s="17" t="n">
        <v>13</v>
      </c>
      <c r="I562" s="18" t="n">
        <v>20</v>
      </c>
      <c r="J562" s="19" t="n">
        <v>27</v>
      </c>
      <c r="K562" s="20" t="n">
        <v>28</v>
      </c>
      <c r="L562" s="21" t="n">
        <v>40</v>
      </c>
      <c r="M562" s="22" t="n">
        <v>15</v>
      </c>
      <c r="N562" s="15" t="n">
        <f aca="false">SUMPRODUCT(COUNTIF(G562:L562,번호조회!$B$4:$B$9))</f>
        <v>0</v>
      </c>
    </row>
    <row r="563" customFormat="false" ht="16.5" hidden="false" customHeight="true" outlineLevel="0" collapsed="false">
      <c r="E563" s="1" t="n">
        <f aca="false">$E$13-($F$13-F563)*7</f>
        <v>42364</v>
      </c>
      <c r="F563" s="12" t="n">
        <v>682</v>
      </c>
      <c r="G563" s="16" t="n">
        <v>17</v>
      </c>
      <c r="H563" s="17" t="n">
        <v>23</v>
      </c>
      <c r="I563" s="18" t="n">
        <v>27</v>
      </c>
      <c r="J563" s="19" t="n">
        <v>35</v>
      </c>
      <c r="K563" s="20" t="n">
        <v>38</v>
      </c>
      <c r="L563" s="21" t="n">
        <v>43</v>
      </c>
      <c r="M563" s="22" t="n">
        <v>2</v>
      </c>
      <c r="N563" s="15" t="n">
        <f aca="false">SUMPRODUCT(COUNTIF(G563:L563,번호조회!$B$4:$B$9))</f>
        <v>0</v>
      </c>
    </row>
    <row r="564" customFormat="false" ht="16.5" hidden="false" customHeight="true" outlineLevel="0" collapsed="false">
      <c r="E564" s="1" t="n">
        <f aca="false">$E$13-($F$13-F564)*7</f>
        <v>42357</v>
      </c>
      <c r="F564" s="12" t="n">
        <v>681</v>
      </c>
      <c r="G564" s="16" t="n">
        <v>21</v>
      </c>
      <c r="H564" s="17" t="n">
        <v>24</v>
      </c>
      <c r="I564" s="18" t="n">
        <v>27</v>
      </c>
      <c r="J564" s="19" t="n">
        <v>29</v>
      </c>
      <c r="K564" s="20" t="n">
        <v>43</v>
      </c>
      <c r="L564" s="21" t="n">
        <v>44</v>
      </c>
      <c r="M564" s="22" t="n">
        <v>7</v>
      </c>
      <c r="N564" s="15" t="n">
        <f aca="false">SUMPRODUCT(COUNTIF(G564:L564,번호조회!$B$4:$B$9))</f>
        <v>0</v>
      </c>
    </row>
    <row r="565" customFormat="false" ht="16.5" hidden="false" customHeight="true" outlineLevel="0" collapsed="false">
      <c r="E565" s="1" t="n">
        <f aca="false">$E$13-($F$13-F565)*7</f>
        <v>42350</v>
      </c>
      <c r="F565" s="12" t="n">
        <v>680</v>
      </c>
      <c r="G565" s="16" t="n">
        <v>4</v>
      </c>
      <c r="H565" s="17" t="n">
        <v>10</v>
      </c>
      <c r="I565" s="18" t="n">
        <v>19</v>
      </c>
      <c r="J565" s="19" t="n">
        <v>29</v>
      </c>
      <c r="K565" s="20" t="n">
        <v>32</v>
      </c>
      <c r="L565" s="21" t="n">
        <v>42</v>
      </c>
      <c r="M565" s="22" t="n">
        <v>30</v>
      </c>
      <c r="N565" s="15" t="n">
        <f aca="false">SUMPRODUCT(COUNTIF(G565:L565,번호조회!$B$4:$B$9))</f>
        <v>0</v>
      </c>
    </row>
    <row r="566" customFormat="false" ht="16.5" hidden="false" customHeight="true" outlineLevel="0" collapsed="false">
      <c r="E566" s="1" t="n">
        <f aca="false">$E$13-($F$13-F566)*7</f>
        <v>42343</v>
      </c>
      <c r="F566" s="12" t="n">
        <v>679</v>
      </c>
      <c r="G566" s="16" t="n">
        <v>3</v>
      </c>
      <c r="H566" s="17" t="n">
        <v>5</v>
      </c>
      <c r="I566" s="18" t="n">
        <v>7</v>
      </c>
      <c r="J566" s="19" t="n">
        <v>14</v>
      </c>
      <c r="K566" s="20" t="n">
        <v>26</v>
      </c>
      <c r="L566" s="21" t="n">
        <v>34</v>
      </c>
      <c r="M566" s="22" t="n">
        <v>35</v>
      </c>
      <c r="N566" s="15" t="n">
        <f aca="false">SUMPRODUCT(COUNTIF(G566:L566,번호조회!$B$4:$B$9))</f>
        <v>0</v>
      </c>
    </row>
    <row r="567" customFormat="false" ht="16.5" hidden="false" customHeight="true" outlineLevel="0" collapsed="false">
      <c r="E567" s="1" t="n">
        <f aca="false">$E$13-($F$13-F567)*7</f>
        <v>42336</v>
      </c>
      <c r="F567" s="12" t="n">
        <v>678</v>
      </c>
      <c r="G567" s="16" t="n">
        <v>4</v>
      </c>
      <c r="H567" s="17" t="n">
        <v>5</v>
      </c>
      <c r="I567" s="18" t="n">
        <v>6</v>
      </c>
      <c r="J567" s="19" t="n">
        <v>12</v>
      </c>
      <c r="K567" s="20" t="n">
        <v>25</v>
      </c>
      <c r="L567" s="21" t="n">
        <v>37</v>
      </c>
      <c r="M567" s="22" t="n">
        <v>45</v>
      </c>
      <c r="N567" s="15" t="n">
        <f aca="false">SUMPRODUCT(COUNTIF(G567:L567,번호조회!$B$4:$B$9))</f>
        <v>0</v>
      </c>
    </row>
    <row r="568" customFormat="false" ht="16.5" hidden="false" customHeight="true" outlineLevel="0" collapsed="false">
      <c r="E568" s="1" t="n">
        <f aca="false">$E$13-($F$13-F568)*7</f>
        <v>42329</v>
      </c>
      <c r="F568" s="12" t="n">
        <v>677</v>
      </c>
      <c r="G568" s="16" t="n">
        <v>12</v>
      </c>
      <c r="H568" s="17" t="n">
        <v>15</v>
      </c>
      <c r="I568" s="18" t="n">
        <v>24</v>
      </c>
      <c r="J568" s="19" t="n">
        <v>36</v>
      </c>
      <c r="K568" s="20" t="n">
        <v>41</v>
      </c>
      <c r="L568" s="21" t="n">
        <v>44</v>
      </c>
      <c r="M568" s="22" t="n">
        <v>42</v>
      </c>
      <c r="N568" s="15" t="n">
        <f aca="false">SUMPRODUCT(COUNTIF(G568:L568,번호조회!$B$4:$B$9))</f>
        <v>0</v>
      </c>
    </row>
    <row r="569" customFormat="false" ht="16.5" hidden="false" customHeight="true" outlineLevel="0" collapsed="false">
      <c r="E569" s="1" t="n">
        <f aca="false">$E$13-($F$13-F569)*7</f>
        <v>42322</v>
      </c>
      <c r="F569" s="12" t="n">
        <v>676</v>
      </c>
      <c r="G569" s="16" t="n">
        <v>1</v>
      </c>
      <c r="H569" s="17" t="n">
        <v>8</v>
      </c>
      <c r="I569" s="18" t="n">
        <v>17</v>
      </c>
      <c r="J569" s="19" t="n">
        <v>34</v>
      </c>
      <c r="K569" s="20" t="n">
        <v>39</v>
      </c>
      <c r="L569" s="21" t="n">
        <v>45</v>
      </c>
      <c r="M569" s="22" t="n">
        <v>27</v>
      </c>
      <c r="N569" s="15" t="n">
        <f aca="false">SUMPRODUCT(COUNTIF(G569:L569,번호조회!$B$4:$B$9))</f>
        <v>0</v>
      </c>
    </row>
    <row r="570" customFormat="false" ht="16.5" hidden="false" customHeight="true" outlineLevel="0" collapsed="false">
      <c r="E570" s="1" t="n">
        <f aca="false">$E$13-($F$13-F570)*7</f>
        <v>42315</v>
      </c>
      <c r="F570" s="12" t="n">
        <v>675</v>
      </c>
      <c r="G570" s="16" t="n">
        <v>1</v>
      </c>
      <c r="H570" s="17" t="n">
        <v>8</v>
      </c>
      <c r="I570" s="18" t="n">
        <v>11</v>
      </c>
      <c r="J570" s="19" t="n">
        <v>15</v>
      </c>
      <c r="K570" s="20" t="n">
        <v>18</v>
      </c>
      <c r="L570" s="21" t="n">
        <v>45</v>
      </c>
      <c r="M570" s="22" t="n">
        <v>7</v>
      </c>
      <c r="N570" s="15" t="n">
        <f aca="false">SUMPRODUCT(COUNTIF(G570:L570,번호조회!$B$4:$B$9))</f>
        <v>0</v>
      </c>
    </row>
    <row r="571" customFormat="false" ht="16.5" hidden="false" customHeight="true" outlineLevel="0" collapsed="false">
      <c r="E571" s="1" t="n">
        <f aca="false">$E$13-($F$13-F571)*7</f>
        <v>42308</v>
      </c>
      <c r="F571" s="12" t="n">
        <v>674</v>
      </c>
      <c r="G571" s="16" t="n">
        <v>9</v>
      </c>
      <c r="H571" s="17" t="n">
        <v>10</v>
      </c>
      <c r="I571" s="18" t="n">
        <v>14</v>
      </c>
      <c r="J571" s="19" t="n">
        <v>25</v>
      </c>
      <c r="K571" s="20" t="n">
        <v>27</v>
      </c>
      <c r="L571" s="21" t="n">
        <v>31</v>
      </c>
      <c r="M571" s="22" t="n">
        <v>11</v>
      </c>
      <c r="N571" s="15" t="n">
        <f aca="false">SUMPRODUCT(COUNTIF(G571:L571,번호조회!$B$4:$B$9))</f>
        <v>0</v>
      </c>
    </row>
    <row r="572" customFormat="false" ht="16.5" hidden="false" customHeight="true" outlineLevel="0" collapsed="false">
      <c r="E572" s="1" t="n">
        <f aca="false">$E$13-($F$13-F572)*7</f>
        <v>42301</v>
      </c>
      <c r="F572" s="12" t="n">
        <v>673</v>
      </c>
      <c r="G572" s="16" t="n">
        <v>7</v>
      </c>
      <c r="H572" s="17" t="n">
        <v>10</v>
      </c>
      <c r="I572" s="18" t="n">
        <v>17</v>
      </c>
      <c r="J572" s="19" t="n">
        <v>29</v>
      </c>
      <c r="K572" s="20" t="n">
        <v>33</v>
      </c>
      <c r="L572" s="21" t="n">
        <v>44</v>
      </c>
      <c r="M572" s="22" t="n">
        <v>5</v>
      </c>
      <c r="N572" s="15" t="n">
        <f aca="false">SUMPRODUCT(COUNTIF(G572:L572,번호조회!$B$4:$B$9))</f>
        <v>0</v>
      </c>
    </row>
    <row r="573" customFormat="false" ht="16.5" hidden="false" customHeight="true" outlineLevel="0" collapsed="false">
      <c r="E573" s="1" t="n">
        <f aca="false">$E$13-($F$13-F573)*7</f>
        <v>42294</v>
      </c>
      <c r="F573" s="12" t="n">
        <v>672</v>
      </c>
      <c r="G573" s="16" t="n">
        <v>8</v>
      </c>
      <c r="H573" s="17" t="n">
        <v>21</v>
      </c>
      <c r="I573" s="18" t="n">
        <v>28</v>
      </c>
      <c r="J573" s="19" t="n">
        <v>31</v>
      </c>
      <c r="K573" s="20" t="n">
        <v>36</v>
      </c>
      <c r="L573" s="21" t="n">
        <v>45</v>
      </c>
      <c r="M573" s="22" t="n">
        <v>43</v>
      </c>
      <c r="N573" s="15" t="n">
        <f aca="false">SUMPRODUCT(COUNTIF(G573:L573,번호조회!$B$4:$B$9))</f>
        <v>0</v>
      </c>
    </row>
    <row r="574" customFormat="false" ht="16.5" hidden="false" customHeight="true" outlineLevel="0" collapsed="false">
      <c r="E574" s="1" t="n">
        <f aca="false">$E$13-($F$13-F574)*7</f>
        <v>42287</v>
      </c>
      <c r="F574" s="12" t="n">
        <v>671</v>
      </c>
      <c r="G574" s="16" t="n">
        <v>7</v>
      </c>
      <c r="H574" s="17" t="n">
        <v>9</v>
      </c>
      <c r="I574" s="18" t="n">
        <v>10</v>
      </c>
      <c r="J574" s="19" t="n">
        <v>13</v>
      </c>
      <c r="K574" s="20" t="n">
        <v>31</v>
      </c>
      <c r="L574" s="21" t="n">
        <v>35</v>
      </c>
      <c r="M574" s="22" t="n">
        <v>24</v>
      </c>
      <c r="N574" s="15" t="n">
        <f aca="false">SUMPRODUCT(COUNTIF(G574:L574,번호조회!$B$4:$B$9))</f>
        <v>0</v>
      </c>
    </row>
    <row r="575" customFormat="false" ht="16.5" hidden="false" customHeight="true" outlineLevel="0" collapsed="false">
      <c r="E575" s="1" t="n">
        <f aca="false">$E$13-($F$13-F575)*7</f>
        <v>42280</v>
      </c>
      <c r="F575" s="12" t="n">
        <v>670</v>
      </c>
      <c r="G575" s="16" t="n">
        <v>11</v>
      </c>
      <c r="H575" s="17" t="n">
        <v>18</v>
      </c>
      <c r="I575" s="18" t="n">
        <v>26</v>
      </c>
      <c r="J575" s="19" t="n">
        <v>27</v>
      </c>
      <c r="K575" s="20" t="n">
        <v>40</v>
      </c>
      <c r="L575" s="21" t="n">
        <v>41</v>
      </c>
      <c r="M575" s="22" t="n">
        <v>25</v>
      </c>
      <c r="N575" s="15" t="n">
        <f aca="false">SUMPRODUCT(COUNTIF(G575:L575,번호조회!$B$4:$B$9))</f>
        <v>0</v>
      </c>
    </row>
    <row r="576" customFormat="false" ht="16.5" hidden="false" customHeight="true" outlineLevel="0" collapsed="false">
      <c r="E576" s="1" t="n">
        <f aca="false">$E$13-($F$13-F576)*7</f>
        <v>42273</v>
      </c>
      <c r="F576" s="12" t="n">
        <v>669</v>
      </c>
      <c r="G576" s="16" t="n">
        <v>7</v>
      </c>
      <c r="H576" s="17" t="n">
        <v>8</v>
      </c>
      <c r="I576" s="18" t="n">
        <v>20</v>
      </c>
      <c r="J576" s="19" t="n">
        <v>29</v>
      </c>
      <c r="K576" s="20" t="n">
        <v>33</v>
      </c>
      <c r="L576" s="21" t="n">
        <v>38</v>
      </c>
      <c r="M576" s="22" t="n">
        <v>9</v>
      </c>
      <c r="N576" s="15" t="n">
        <f aca="false">SUMPRODUCT(COUNTIF(G576:L576,번호조회!$B$4:$B$9))</f>
        <v>0</v>
      </c>
    </row>
    <row r="577" customFormat="false" ht="16.5" hidden="false" customHeight="true" outlineLevel="0" collapsed="false">
      <c r="E577" s="1" t="n">
        <f aca="false">$E$13-($F$13-F577)*7</f>
        <v>42266</v>
      </c>
      <c r="F577" s="12" t="n">
        <v>668</v>
      </c>
      <c r="G577" s="16" t="n">
        <v>12</v>
      </c>
      <c r="H577" s="17" t="n">
        <v>14</v>
      </c>
      <c r="I577" s="18" t="n">
        <v>15</v>
      </c>
      <c r="J577" s="19" t="n">
        <v>24</v>
      </c>
      <c r="K577" s="20" t="n">
        <v>27</v>
      </c>
      <c r="L577" s="21" t="n">
        <v>32</v>
      </c>
      <c r="M577" s="22" t="n">
        <v>3</v>
      </c>
      <c r="N577" s="15" t="n">
        <f aca="false">SUMPRODUCT(COUNTIF(G577:L577,번호조회!$B$4:$B$9))</f>
        <v>0</v>
      </c>
    </row>
    <row r="578" customFormat="false" ht="16.5" hidden="false" customHeight="true" outlineLevel="0" collapsed="false">
      <c r="E578" s="1" t="n">
        <f aca="false">$E$13-($F$13-F578)*7</f>
        <v>42259</v>
      </c>
      <c r="F578" s="12" t="n">
        <v>667</v>
      </c>
      <c r="G578" s="16" t="n">
        <v>15</v>
      </c>
      <c r="H578" s="17" t="n">
        <v>17</v>
      </c>
      <c r="I578" s="18" t="n">
        <v>25</v>
      </c>
      <c r="J578" s="19" t="n">
        <v>37</v>
      </c>
      <c r="K578" s="20" t="n">
        <v>42</v>
      </c>
      <c r="L578" s="21" t="n">
        <v>43</v>
      </c>
      <c r="M578" s="22" t="n">
        <v>13</v>
      </c>
      <c r="N578" s="15" t="n">
        <f aca="false">SUMPRODUCT(COUNTIF(G578:L578,번호조회!$B$4:$B$9))</f>
        <v>0</v>
      </c>
    </row>
    <row r="579" customFormat="false" ht="16.5" hidden="false" customHeight="true" outlineLevel="0" collapsed="false">
      <c r="E579" s="1" t="n">
        <f aca="false">$E$13-($F$13-F579)*7</f>
        <v>42252</v>
      </c>
      <c r="F579" s="12" t="n">
        <v>666</v>
      </c>
      <c r="G579" s="16" t="n">
        <v>2</v>
      </c>
      <c r="H579" s="17" t="n">
        <v>4</v>
      </c>
      <c r="I579" s="18" t="n">
        <v>6</v>
      </c>
      <c r="J579" s="19" t="n">
        <v>11</v>
      </c>
      <c r="K579" s="20" t="n">
        <v>17</v>
      </c>
      <c r="L579" s="21" t="n">
        <v>28</v>
      </c>
      <c r="M579" s="22" t="n">
        <v>16</v>
      </c>
      <c r="N579" s="15" t="n">
        <f aca="false">SUMPRODUCT(COUNTIF(G579:L579,번호조회!$B$4:$B$9))</f>
        <v>0</v>
      </c>
    </row>
    <row r="580" customFormat="false" ht="16.5" hidden="false" customHeight="true" outlineLevel="0" collapsed="false">
      <c r="E580" s="1" t="n">
        <f aca="false">$E$13-($F$13-F580)*7</f>
        <v>42245</v>
      </c>
      <c r="F580" s="12" t="n">
        <v>665</v>
      </c>
      <c r="G580" s="16" t="n">
        <v>5</v>
      </c>
      <c r="H580" s="17" t="n">
        <v>6</v>
      </c>
      <c r="I580" s="18" t="n">
        <v>11</v>
      </c>
      <c r="J580" s="19" t="n">
        <v>17</v>
      </c>
      <c r="K580" s="20" t="n">
        <v>38</v>
      </c>
      <c r="L580" s="21" t="n">
        <v>44</v>
      </c>
      <c r="M580" s="22" t="n">
        <v>13</v>
      </c>
      <c r="N580" s="15" t="n">
        <f aca="false">SUMPRODUCT(COUNTIF(G580:L580,번호조회!$B$4:$B$9))</f>
        <v>0</v>
      </c>
    </row>
    <row r="581" customFormat="false" ht="16.5" hidden="false" customHeight="true" outlineLevel="0" collapsed="false">
      <c r="E581" s="1" t="n">
        <f aca="false">$E$13-($F$13-F581)*7</f>
        <v>42238</v>
      </c>
      <c r="F581" s="12" t="n">
        <v>664</v>
      </c>
      <c r="G581" s="16" t="n">
        <v>10</v>
      </c>
      <c r="H581" s="17" t="n">
        <v>20</v>
      </c>
      <c r="I581" s="18" t="n">
        <v>33</v>
      </c>
      <c r="J581" s="19" t="n">
        <v>36</v>
      </c>
      <c r="K581" s="20" t="n">
        <v>41</v>
      </c>
      <c r="L581" s="21" t="n">
        <v>44</v>
      </c>
      <c r="M581" s="22" t="n">
        <v>5</v>
      </c>
      <c r="N581" s="15" t="n">
        <f aca="false">SUMPRODUCT(COUNTIF(G581:L581,번호조회!$B$4:$B$9))</f>
        <v>0</v>
      </c>
    </row>
    <row r="582" customFormat="false" ht="16.5" hidden="false" customHeight="true" outlineLevel="0" collapsed="false">
      <c r="E582" s="1" t="n">
        <f aca="false">$E$13-($F$13-F582)*7</f>
        <v>42231</v>
      </c>
      <c r="F582" s="12" t="n">
        <v>663</v>
      </c>
      <c r="G582" s="16" t="n">
        <v>3</v>
      </c>
      <c r="H582" s="17" t="n">
        <v>5</v>
      </c>
      <c r="I582" s="18" t="n">
        <v>8</v>
      </c>
      <c r="J582" s="19" t="n">
        <v>19</v>
      </c>
      <c r="K582" s="20" t="n">
        <v>38</v>
      </c>
      <c r="L582" s="21" t="n">
        <v>42</v>
      </c>
      <c r="M582" s="22" t="n">
        <v>20</v>
      </c>
      <c r="N582" s="15" t="n">
        <f aca="false">SUMPRODUCT(COUNTIF(G582:L582,번호조회!$B$4:$B$9))</f>
        <v>0</v>
      </c>
    </row>
    <row r="583" customFormat="false" ht="16.5" hidden="false" customHeight="true" outlineLevel="0" collapsed="false">
      <c r="E583" s="1" t="n">
        <f aca="false">$E$13-($F$13-F583)*7</f>
        <v>42224</v>
      </c>
      <c r="F583" s="12" t="n">
        <v>662</v>
      </c>
      <c r="G583" s="16" t="n">
        <v>5</v>
      </c>
      <c r="H583" s="17" t="n">
        <v>6</v>
      </c>
      <c r="I583" s="18" t="n">
        <v>9</v>
      </c>
      <c r="J583" s="19" t="n">
        <v>11</v>
      </c>
      <c r="K583" s="20" t="n">
        <v>15</v>
      </c>
      <c r="L583" s="21" t="n">
        <v>37</v>
      </c>
      <c r="M583" s="22" t="n">
        <v>26</v>
      </c>
      <c r="N583" s="15" t="n">
        <f aca="false">SUMPRODUCT(COUNTIF(G583:L583,번호조회!$B$4:$B$9))</f>
        <v>0</v>
      </c>
    </row>
    <row r="584" customFormat="false" ht="16.5" hidden="false" customHeight="true" outlineLevel="0" collapsed="false">
      <c r="E584" s="1" t="n">
        <f aca="false">$E$13-($F$13-F584)*7</f>
        <v>42217</v>
      </c>
      <c r="F584" s="12" t="n">
        <v>661</v>
      </c>
      <c r="G584" s="16" t="n">
        <v>2</v>
      </c>
      <c r="H584" s="17" t="n">
        <v>3</v>
      </c>
      <c r="I584" s="18" t="n">
        <v>12</v>
      </c>
      <c r="J584" s="19" t="n">
        <v>20</v>
      </c>
      <c r="K584" s="20" t="n">
        <v>27</v>
      </c>
      <c r="L584" s="21" t="n">
        <v>38</v>
      </c>
      <c r="M584" s="22" t="n">
        <v>40</v>
      </c>
      <c r="N584" s="15" t="n">
        <f aca="false">SUMPRODUCT(COUNTIF(G584:L584,번호조회!$B$4:$B$9))</f>
        <v>0</v>
      </c>
    </row>
    <row r="585" customFormat="false" ht="16.5" hidden="false" customHeight="true" outlineLevel="0" collapsed="false">
      <c r="E585" s="1" t="n">
        <f aca="false">$E$13-($F$13-F585)*7</f>
        <v>42210</v>
      </c>
      <c r="F585" s="12" t="n">
        <v>660</v>
      </c>
      <c r="G585" s="16" t="n">
        <v>4</v>
      </c>
      <c r="H585" s="17" t="n">
        <v>9</v>
      </c>
      <c r="I585" s="18" t="n">
        <v>23</v>
      </c>
      <c r="J585" s="19" t="n">
        <v>33</v>
      </c>
      <c r="K585" s="20" t="n">
        <v>39</v>
      </c>
      <c r="L585" s="21" t="n">
        <v>44</v>
      </c>
      <c r="M585" s="22" t="n">
        <v>14</v>
      </c>
      <c r="N585" s="15" t="n">
        <f aca="false">SUMPRODUCT(COUNTIF(G585:L585,번호조회!$B$4:$B$9))</f>
        <v>0</v>
      </c>
    </row>
    <row r="586" customFormat="false" ht="16.5" hidden="false" customHeight="true" outlineLevel="0" collapsed="false">
      <c r="E586" s="1" t="n">
        <f aca="false">$E$13-($F$13-F586)*7</f>
        <v>42203</v>
      </c>
      <c r="F586" s="12" t="n">
        <v>659</v>
      </c>
      <c r="G586" s="16" t="n">
        <v>7</v>
      </c>
      <c r="H586" s="17" t="n">
        <v>18</v>
      </c>
      <c r="I586" s="18" t="n">
        <v>19</v>
      </c>
      <c r="J586" s="19" t="n">
        <v>27</v>
      </c>
      <c r="K586" s="20" t="n">
        <v>29</v>
      </c>
      <c r="L586" s="21" t="n">
        <v>42</v>
      </c>
      <c r="M586" s="22" t="n">
        <v>45</v>
      </c>
      <c r="N586" s="15" t="n">
        <f aca="false">SUMPRODUCT(COUNTIF(G586:L586,번호조회!$B$4:$B$9))</f>
        <v>0</v>
      </c>
    </row>
    <row r="587" customFormat="false" ht="16.5" hidden="false" customHeight="true" outlineLevel="0" collapsed="false">
      <c r="E587" s="1" t="n">
        <f aca="false">$E$13-($F$13-F587)*7</f>
        <v>42196</v>
      </c>
      <c r="F587" s="12" t="n">
        <v>658</v>
      </c>
      <c r="G587" s="16" t="n">
        <v>8</v>
      </c>
      <c r="H587" s="17" t="n">
        <v>19</v>
      </c>
      <c r="I587" s="18" t="n">
        <v>25</v>
      </c>
      <c r="J587" s="19" t="n">
        <v>28</v>
      </c>
      <c r="K587" s="20" t="n">
        <v>32</v>
      </c>
      <c r="L587" s="21" t="n">
        <v>36</v>
      </c>
      <c r="M587" s="22" t="n">
        <v>37</v>
      </c>
      <c r="N587" s="15" t="n">
        <f aca="false">SUMPRODUCT(COUNTIF(G587:L587,번호조회!$B$4:$B$9))</f>
        <v>0</v>
      </c>
    </row>
    <row r="588" customFormat="false" ht="16.5" hidden="false" customHeight="true" outlineLevel="0" collapsed="false">
      <c r="E588" s="1" t="n">
        <f aca="false">$E$13-($F$13-F588)*7</f>
        <v>42189</v>
      </c>
      <c r="F588" s="12" t="n">
        <v>657</v>
      </c>
      <c r="G588" s="16" t="n">
        <v>10</v>
      </c>
      <c r="H588" s="17" t="n">
        <v>14</v>
      </c>
      <c r="I588" s="18" t="n">
        <v>19</v>
      </c>
      <c r="J588" s="19" t="n">
        <v>39</v>
      </c>
      <c r="K588" s="20" t="n">
        <v>40</v>
      </c>
      <c r="L588" s="21" t="n">
        <v>43</v>
      </c>
      <c r="M588" s="22" t="n">
        <v>23</v>
      </c>
      <c r="N588" s="15" t="n">
        <f aca="false">SUMPRODUCT(COUNTIF(G588:L588,번호조회!$B$4:$B$9))</f>
        <v>0</v>
      </c>
    </row>
    <row r="589" customFormat="false" ht="16.5" hidden="false" customHeight="true" outlineLevel="0" collapsed="false">
      <c r="E589" s="1" t="n">
        <f aca="false">$E$13-($F$13-F589)*7</f>
        <v>42182</v>
      </c>
      <c r="F589" s="12" t="n">
        <v>656</v>
      </c>
      <c r="G589" s="16" t="n">
        <v>3</v>
      </c>
      <c r="H589" s="17" t="n">
        <v>7</v>
      </c>
      <c r="I589" s="18" t="n">
        <v>14</v>
      </c>
      <c r="J589" s="19" t="n">
        <v>16</v>
      </c>
      <c r="K589" s="20" t="n">
        <v>31</v>
      </c>
      <c r="L589" s="21" t="n">
        <v>40</v>
      </c>
      <c r="M589" s="22" t="n">
        <v>39</v>
      </c>
      <c r="N589" s="15" t="n">
        <f aca="false">SUMPRODUCT(COUNTIF(G589:L589,번호조회!$B$4:$B$9))</f>
        <v>0</v>
      </c>
    </row>
    <row r="590" customFormat="false" ht="16.5" hidden="false" customHeight="true" outlineLevel="0" collapsed="false">
      <c r="E590" s="1" t="n">
        <f aca="false">$E$13-($F$13-F590)*7</f>
        <v>42175</v>
      </c>
      <c r="F590" s="12" t="n">
        <v>655</v>
      </c>
      <c r="G590" s="16" t="n">
        <v>7</v>
      </c>
      <c r="H590" s="17" t="n">
        <v>37</v>
      </c>
      <c r="I590" s="18" t="n">
        <v>38</v>
      </c>
      <c r="J590" s="19" t="n">
        <v>39</v>
      </c>
      <c r="K590" s="20" t="n">
        <v>40</v>
      </c>
      <c r="L590" s="21" t="n">
        <v>44</v>
      </c>
      <c r="M590" s="22" t="n">
        <v>18</v>
      </c>
      <c r="N590" s="15" t="n">
        <f aca="false">SUMPRODUCT(COUNTIF(G590:L590,번호조회!$B$4:$B$9))</f>
        <v>0</v>
      </c>
    </row>
    <row r="591" customFormat="false" ht="16.5" hidden="false" customHeight="true" outlineLevel="0" collapsed="false">
      <c r="E591" s="1" t="n">
        <f aca="false">$E$13-($F$13-F591)*7</f>
        <v>42168</v>
      </c>
      <c r="F591" s="12" t="n">
        <v>654</v>
      </c>
      <c r="G591" s="16" t="n">
        <v>16</v>
      </c>
      <c r="H591" s="17" t="n">
        <v>21</v>
      </c>
      <c r="I591" s="18" t="n">
        <v>26</v>
      </c>
      <c r="J591" s="19" t="n">
        <v>31</v>
      </c>
      <c r="K591" s="20" t="n">
        <v>36</v>
      </c>
      <c r="L591" s="21" t="n">
        <v>43</v>
      </c>
      <c r="M591" s="22" t="n">
        <v>6</v>
      </c>
      <c r="N591" s="15" t="n">
        <f aca="false">SUMPRODUCT(COUNTIF(G591:L591,번호조회!$B$4:$B$9))</f>
        <v>0</v>
      </c>
    </row>
    <row r="592" customFormat="false" ht="16.5" hidden="false" customHeight="true" outlineLevel="0" collapsed="false">
      <c r="E592" s="1" t="n">
        <f aca="false">$E$13-($F$13-F592)*7</f>
        <v>42161</v>
      </c>
      <c r="F592" s="12" t="n">
        <v>653</v>
      </c>
      <c r="G592" s="16" t="n">
        <v>5</v>
      </c>
      <c r="H592" s="17" t="n">
        <v>6</v>
      </c>
      <c r="I592" s="18" t="n">
        <v>26</v>
      </c>
      <c r="J592" s="19" t="n">
        <v>27</v>
      </c>
      <c r="K592" s="20" t="n">
        <v>38</v>
      </c>
      <c r="L592" s="21" t="n">
        <v>39</v>
      </c>
      <c r="M592" s="22" t="n">
        <v>1</v>
      </c>
      <c r="N592" s="15" t="n">
        <f aca="false">SUMPRODUCT(COUNTIF(G592:L592,번호조회!$B$4:$B$9))</f>
        <v>0</v>
      </c>
    </row>
    <row r="593" customFormat="false" ht="16.5" hidden="false" customHeight="true" outlineLevel="0" collapsed="false">
      <c r="E593" s="1" t="n">
        <f aca="false">$E$13-($F$13-F593)*7</f>
        <v>42154</v>
      </c>
      <c r="F593" s="12" t="n">
        <v>652</v>
      </c>
      <c r="G593" s="16" t="n">
        <v>3</v>
      </c>
      <c r="H593" s="17" t="n">
        <v>13</v>
      </c>
      <c r="I593" s="18" t="n">
        <v>15</v>
      </c>
      <c r="J593" s="19" t="n">
        <v>40</v>
      </c>
      <c r="K593" s="20" t="n">
        <v>41</v>
      </c>
      <c r="L593" s="21" t="n">
        <v>44</v>
      </c>
      <c r="M593" s="22" t="n">
        <v>20</v>
      </c>
      <c r="N593" s="15" t="n">
        <f aca="false">SUMPRODUCT(COUNTIF(G593:L593,번호조회!$B$4:$B$9))</f>
        <v>0</v>
      </c>
    </row>
    <row r="594" customFormat="false" ht="16.5" hidden="false" customHeight="true" outlineLevel="0" collapsed="false">
      <c r="E594" s="1" t="n">
        <f aca="false">$E$13-($F$13-F594)*7</f>
        <v>42147</v>
      </c>
      <c r="F594" s="12" t="n">
        <v>651</v>
      </c>
      <c r="G594" s="16" t="n">
        <v>11</v>
      </c>
      <c r="H594" s="17" t="n">
        <v>12</v>
      </c>
      <c r="I594" s="18" t="n">
        <v>16</v>
      </c>
      <c r="J594" s="19" t="n">
        <v>26</v>
      </c>
      <c r="K594" s="20" t="n">
        <v>29</v>
      </c>
      <c r="L594" s="21" t="n">
        <v>44</v>
      </c>
      <c r="M594" s="22" t="n">
        <v>18</v>
      </c>
      <c r="N594" s="15" t="n">
        <f aca="false">SUMPRODUCT(COUNTIF(G594:L594,번호조회!$B$4:$B$9))</f>
        <v>0</v>
      </c>
    </row>
    <row r="595" customFormat="false" ht="16.5" hidden="false" customHeight="true" outlineLevel="0" collapsed="false">
      <c r="E595" s="1" t="n">
        <f aca="false">$E$13-($F$13-F595)*7</f>
        <v>42140</v>
      </c>
      <c r="F595" s="12" t="n">
        <v>650</v>
      </c>
      <c r="G595" s="16" t="n">
        <v>3</v>
      </c>
      <c r="H595" s="17" t="n">
        <v>4</v>
      </c>
      <c r="I595" s="18" t="n">
        <v>7</v>
      </c>
      <c r="J595" s="19" t="n">
        <v>11</v>
      </c>
      <c r="K595" s="20" t="n">
        <v>31</v>
      </c>
      <c r="L595" s="21" t="n">
        <v>41</v>
      </c>
      <c r="M595" s="22" t="n">
        <v>35</v>
      </c>
      <c r="N595" s="15" t="n">
        <f aca="false">SUMPRODUCT(COUNTIF(G595:L595,번호조회!$B$4:$B$9))</f>
        <v>0</v>
      </c>
    </row>
    <row r="596" customFormat="false" ht="16.5" hidden="false" customHeight="true" outlineLevel="0" collapsed="false">
      <c r="E596" s="1" t="n">
        <f aca="false">$E$13-($F$13-F596)*7</f>
        <v>42133</v>
      </c>
      <c r="F596" s="12" t="n">
        <v>649</v>
      </c>
      <c r="G596" s="16" t="n">
        <v>3</v>
      </c>
      <c r="H596" s="17" t="n">
        <v>21</v>
      </c>
      <c r="I596" s="18" t="n">
        <v>22</v>
      </c>
      <c r="J596" s="19" t="n">
        <v>33</v>
      </c>
      <c r="K596" s="20" t="n">
        <v>41</v>
      </c>
      <c r="L596" s="21" t="n">
        <v>42</v>
      </c>
      <c r="M596" s="22" t="n">
        <v>20</v>
      </c>
      <c r="N596" s="15" t="n">
        <f aca="false">SUMPRODUCT(COUNTIF(G596:L596,번호조회!$B$4:$B$9))</f>
        <v>0</v>
      </c>
    </row>
    <row r="597" customFormat="false" ht="16.5" hidden="false" customHeight="true" outlineLevel="0" collapsed="false">
      <c r="E597" s="1" t="n">
        <f aca="false">$E$13-($F$13-F597)*7</f>
        <v>42126</v>
      </c>
      <c r="F597" s="12" t="n">
        <v>648</v>
      </c>
      <c r="G597" s="16" t="n">
        <v>13</v>
      </c>
      <c r="H597" s="17" t="n">
        <v>19</v>
      </c>
      <c r="I597" s="18" t="n">
        <v>28</v>
      </c>
      <c r="J597" s="19" t="n">
        <v>37</v>
      </c>
      <c r="K597" s="20" t="n">
        <v>38</v>
      </c>
      <c r="L597" s="21" t="n">
        <v>43</v>
      </c>
      <c r="M597" s="22" t="n">
        <v>4</v>
      </c>
      <c r="N597" s="15" t="n">
        <f aca="false">SUMPRODUCT(COUNTIF(G597:L597,번호조회!$B$4:$B$9))</f>
        <v>0</v>
      </c>
    </row>
    <row r="598" customFormat="false" ht="16.5" hidden="false" customHeight="true" outlineLevel="0" collapsed="false">
      <c r="E598" s="1" t="n">
        <f aca="false">$E$13-($F$13-F598)*7</f>
        <v>42119</v>
      </c>
      <c r="F598" s="12" t="n">
        <v>647</v>
      </c>
      <c r="G598" s="16" t="n">
        <v>5</v>
      </c>
      <c r="H598" s="17" t="n">
        <v>16</v>
      </c>
      <c r="I598" s="18" t="n">
        <v>21</v>
      </c>
      <c r="J598" s="19" t="n">
        <v>23</v>
      </c>
      <c r="K598" s="20" t="n">
        <v>24</v>
      </c>
      <c r="L598" s="21" t="n">
        <v>30</v>
      </c>
      <c r="M598" s="22" t="n">
        <v>29</v>
      </c>
      <c r="N598" s="15" t="n">
        <f aca="false">SUMPRODUCT(COUNTIF(G598:L598,번호조회!$B$4:$B$9))</f>
        <v>0</v>
      </c>
    </row>
    <row r="599" customFormat="false" ht="16.5" hidden="false" customHeight="true" outlineLevel="0" collapsed="false">
      <c r="E599" s="1" t="n">
        <f aca="false">$E$13-($F$13-F599)*7</f>
        <v>42112</v>
      </c>
      <c r="F599" s="12" t="n">
        <v>646</v>
      </c>
      <c r="G599" s="16" t="n">
        <v>2</v>
      </c>
      <c r="H599" s="17" t="n">
        <v>9</v>
      </c>
      <c r="I599" s="18" t="n">
        <v>24</v>
      </c>
      <c r="J599" s="19" t="n">
        <v>41</v>
      </c>
      <c r="K599" s="20" t="n">
        <v>43</v>
      </c>
      <c r="L599" s="21" t="n">
        <v>45</v>
      </c>
      <c r="M599" s="22" t="n">
        <v>30</v>
      </c>
      <c r="N599" s="15" t="n">
        <f aca="false">SUMPRODUCT(COUNTIF(G599:L599,번호조회!$B$4:$B$9))</f>
        <v>0</v>
      </c>
    </row>
    <row r="600" customFormat="false" ht="16.5" hidden="false" customHeight="true" outlineLevel="0" collapsed="false">
      <c r="E600" s="1" t="n">
        <f aca="false">$E$13-($F$13-F600)*7</f>
        <v>42105</v>
      </c>
      <c r="F600" s="12" t="n">
        <v>645</v>
      </c>
      <c r="G600" s="16" t="n">
        <v>1</v>
      </c>
      <c r="H600" s="17" t="n">
        <v>4</v>
      </c>
      <c r="I600" s="18" t="n">
        <v>16</v>
      </c>
      <c r="J600" s="19" t="n">
        <v>26</v>
      </c>
      <c r="K600" s="20" t="n">
        <v>40</v>
      </c>
      <c r="L600" s="21" t="n">
        <v>41</v>
      </c>
      <c r="M600" s="22" t="n">
        <v>31</v>
      </c>
      <c r="N600" s="15" t="n">
        <f aca="false">SUMPRODUCT(COUNTIF(G600:L600,번호조회!$B$4:$B$9))</f>
        <v>0</v>
      </c>
    </row>
    <row r="601" customFormat="false" ht="16.5" hidden="false" customHeight="true" outlineLevel="0" collapsed="false">
      <c r="E601" s="1" t="n">
        <f aca="false">$E$13-($F$13-F601)*7</f>
        <v>42098</v>
      </c>
      <c r="F601" s="12" t="n">
        <v>644</v>
      </c>
      <c r="G601" s="16" t="n">
        <v>5</v>
      </c>
      <c r="H601" s="17" t="n">
        <v>13</v>
      </c>
      <c r="I601" s="18" t="n">
        <v>17</v>
      </c>
      <c r="J601" s="19" t="n">
        <v>23</v>
      </c>
      <c r="K601" s="20" t="n">
        <v>28</v>
      </c>
      <c r="L601" s="21" t="n">
        <v>36</v>
      </c>
      <c r="M601" s="22" t="n">
        <v>8</v>
      </c>
      <c r="N601" s="15" t="n">
        <f aca="false">SUMPRODUCT(COUNTIF(G601:L601,번호조회!$B$4:$B$9))</f>
        <v>0</v>
      </c>
    </row>
    <row r="602" customFormat="false" ht="16.5" hidden="false" customHeight="true" outlineLevel="0" collapsed="false">
      <c r="E602" s="1" t="n">
        <f aca="false">$E$13-($F$13-F602)*7</f>
        <v>42091</v>
      </c>
      <c r="F602" s="12" t="n">
        <v>643</v>
      </c>
      <c r="G602" s="16" t="n">
        <v>15</v>
      </c>
      <c r="H602" s="17" t="n">
        <v>24</v>
      </c>
      <c r="I602" s="18" t="n">
        <v>31</v>
      </c>
      <c r="J602" s="19" t="n">
        <v>32</v>
      </c>
      <c r="K602" s="20" t="n">
        <v>33</v>
      </c>
      <c r="L602" s="21" t="n">
        <v>40</v>
      </c>
      <c r="M602" s="22" t="n">
        <v>13</v>
      </c>
      <c r="N602" s="15" t="n">
        <f aca="false">SUMPRODUCT(COUNTIF(G602:L602,번호조회!$B$4:$B$9))</f>
        <v>0</v>
      </c>
    </row>
    <row r="603" customFormat="false" ht="16.5" hidden="false" customHeight="true" outlineLevel="0" collapsed="false">
      <c r="E603" s="1" t="n">
        <f aca="false">$E$13-($F$13-F603)*7</f>
        <v>42084</v>
      </c>
      <c r="F603" s="12" t="n">
        <v>642</v>
      </c>
      <c r="G603" s="16" t="n">
        <v>8</v>
      </c>
      <c r="H603" s="17" t="n">
        <v>17</v>
      </c>
      <c r="I603" s="18" t="n">
        <v>18</v>
      </c>
      <c r="J603" s="19" t="n">
        <v>24</v>
      </c>
      <c r="K603" s="20" t="n">
        <v>39</v>
      </c>
      <c r="L603" s="21" t="n">
        <v>45</v>
      </c>
      <c r="M603" s="22" t="n">
        <v>32</v>
      </c>
      <c r="N603" s="15" t="n">
        <f aca="false">SUMPRODUCT(COUNTIF(G603:L603,번호조회!$B$4:$B$9))</f>
        <v>0</v>
      </c>
    </row>
    <row r="604" customFormat="false" ht="16.5" hidden="false" customHeight="true" outlineLevel="0" collapsed="false">
      <c r="E604" s="1" t="n">
        <f aca="false">$E$13-($F$13-F604)*7</f>
        <v>42077</v>
      </c>
      <c r="F604" s="12" t="n">
        <v>641</v>
      </c>
      <c r="G604" s="16" t="n">
        <v>11</v>
      </c>
      <c r="H604" s="17" t="n">
        <v>18</v>
      </c>
      <c r="I604" s="18" t="n">
        <v>21</v>
      </c>
      <c r="J604" s="19" t="n">
        <v>36</v>
      </c>
      <c r="K604" s="20" t="n">
        <v>37</v>
      </c>
      <c r="L604" s="21" t="n">
        <v>43</v>
      </c>
      <c r="M604" s="22" t="n">
        <v>12</v>
      </c>
      <c r="N604" s="15" t="n">
        <f aca="false">SUMPRODUCT(COUNTIF(G604:L604,번호조회!$B$4:$B$9))</f>
        <v>0</v>
      </c>
    </row>
    <row r="605" customFormat="false" ht="16.5" hidden="false" customHeight="true" outlineLevel="0" collapsed="false">
      <c r="E605" s="1" t="n">
        <f aca="false">$E$13-($F$13-F605)*7</f>
        <v>42070</v>
      </c>
      <c r="F605" s="12" t="n">
        <v>640</v>
      </c>
      <c r="G605" s="16" t="n">
        <v>14</v>
      </c>
      <c r="H605" s="17" t="n">
        <v>15</v>
      </c>
      <c r="I605" s="18" t="n">
        <v>18</v>
      </c>
      <c r="J605" s="19" t="n">
        <v>21</v>
      </c>
      <c r="K605" s="20" t="n">
        <v>26</v>
      </c>
      <c r="L605" s="21" t="n">
        <v>35</v>
      </c>
      <c r="M605" s="22" t="n">
        <v>23</v>
      </c>
      <c r="N605" s="15" t="n">
        <f aca="false">SUMPRODUCT(COUNTIF(G605:L605,번호조회!$B$4:$B$9))</f>
        <v>0</v>
      </c>
    </row>
    <row r="606" customFormat="false" ht="16.5" hidden="false" customHeight="true" outlineLevel="0" collapsed="false">
      <c r="E606" s="1" t="n">
        <f aca="false">$E$13-($F$13-F606)*7</f>
        <v>42063</v>
      </c>
      <c r="F606" s="12" t="n">
        <v>639</v>
      </c>
      <c r="G606" s="16" t="n">
        <v>6</v>
      </c>
      <c r="H606" s="17" t="n">
        <v>15</v>
      </c>
      <c r="I606" s="18" t="n">
        <v>22</v>
      </c>
      <c r="J606" s="19" t="n">
        <v>23</v>
      </c>
      <c r="K606" s="20" t="n">
        <v>25</v>
      </c>
      <c r="L606" s="21" t="n">
        <v>32</v>
      </c>
      <c r="M606" s="22" t="n">
        <v>40</v>
      </c>
      <c r="N606" s="15" t="n">
        <f aca="false">SUMPRODUCT(COUNTIF(G606:L606,번호조회!$B$4:$B$9))</f>
        <v>0</v>
      </c>
    </row>
    <row r="607" customFormat="false" ht="16.5" hidden="false" customHeight="true" outlineLevel="0" collapsed="false">
      <c r="E607" s="1" t="n">
        <f aca="false">$E$13-($F$13-F607)*7</f>
        <v>42056</v>
      </c>
      <c r="F607" s="12" t="n">
        <v>638</v>
      </c>
      <c r="G607" s="16" t="n">
        <v>7</v>
      </c>
      <c r="H607" s="17" t="n">
        <v>18</v>
      </c>
      <c r="I607" s="18" t="n">
        <v>22</v>
      </c>
      <c r="J607" s="19" t="n">
        <v>24</v>
      </c>
      <c r="K607" s="20" t="n">
        <v>31</v>
      </c>
      <c r="L607" s="21" t="n">
        <v>34</v>
      </c>
      <c r="M607" s="22" t="n">
        <v>6</v>
      </c>
      <c r="N607" s="15" t="n">
        <f aca="false">SUMPRODUCT(COUNTIF(G607:L607,번호조회!$B$4:$B$9))</f>
        <v>0</v>
      </c>
    </row>
    <row r="608" customFormat="false" ht="16.5" hidden="false" customHeight="true" outlineLevel="0" collapsed="false">
      <c r="E608" s="1" t="n">
        <f aca="false">$E$13-($F$13-F608)*7</f>
        <v>42049</v>
      </c>
      <c r="F608" s="12" t="n">
        <v>637</v>
      </c>
      <c r="G608" s="16" t="n">
        <v>3</v>
      </c>
      <c r="H608" s="17" t="n">
        <v>16</v>
      </c>
      <c r="I608" s="18" t="n">
        <v>22</v>
      </c>
      <c r="J608" s="19" t="n">
        <v>37</v>
      </c>
      <c r="K608" s="20" t="n">
        <v>38</v>
      </c>
      <c r="L608" s="21" t="n">
        <v>44</v>
      </c>
      <c r="M608" s="22" t="n">
        <v>23</v>
      </c>
      <c r="N608" s="15" t="n">
        <f aca="false">SUMPRODUCT(COUNTIF(G608:L608,번호조회!$B$4:$B$9))</f>
        <v>0</v>
      </c>
    </row>
    <row r="609" customFormat="false" ht="16.5" hidden="false" customHeight="true" outlineLevel="0" collapsed="false">
      <c r="E609" s="1" t="n">
        <f aca="false">$E$13-($F$13-F609)*7</f>
        <v>42042</v>
      </c>
      <c r="F609" s="12" t="n">
        <v>636</v>
      </c>
      <c r="G609" s="16" t="n">
        <v>6</v>
      </c>
      <c r="H609" s="17" t="n">
        <v>7</v>
      </c>
      <c r="I609" s="18" t="n">
        <v>15</v>
      </c>
      <c r="J609" s="19" t="n">
        <v>16</v>
      </c>
      <c r="K609" s="20" t="n">
        <v>20</v>
      </c>
      <c r="L609" s="21" t="n">
        <v>31</v>
      </c>
      <c r="M609" s="22" t="n">
        <v>26</v>
      </c>
      <c r="N609" s="15" t="n">
        <f aca="false">SUMPRODUCT(COUNTIF(G609:L609,번호조회!$B$4:$B$9))</f>
        <v>0</v>
      </c>
    </row>
    <row r="610" customFormat="false" ht="16.5" hidden="false" customHeight="true" outlineLevel="0" collapsed="false">
      <c r="E610" s="1" t="n">
        <f aca="false">$E$13-($F$13-F610)*7</f>
        <v>42035</v>
      </c>
      <c r="F610" s="12" t="n">
        <v>635</v>
      </c>
      <c r="G610" s="16" t="n">
        <v>11</v>
      </c>
      <c r="H610" s="17" t="n">
        <v>13</v>
      </c>
      <c r="I610" s="18" t="n">
        <v>25</v>
      </c>
      <c r="J610" s="19" t="n">
        <v>26</v>
      </c>
      <c r="K610" s="20" t="n">
        <v>29</v>
      </c>
      <c r="L610" s="21" t="n">
        <v>33</v>
      </c>
      <c r="M610" s="22" t="n">
        <v>32</v>
      </c>
      <c r="N610" s="15" t="n">
        <f aca="false">SUMPRODUCT(COUNTIF(G610:L610,번호조회!$B$4:$B$9))</f>
        <v>0</v>
      </c>
    </row>
    <row r="611" customFormat="false" ht="16.5" hidden="false" customHeight="true" outlineLevel="0" collapsed="false">
      <c r="E611" s="1" t="n">
        <f aca="false">$E$13-($F$13-F611)*7</f>
        <v>42028</v>
      </c>
      <c r="F611" s="12" t="n">
        <v>634</v>
      </c>
      <c r="G611" s="16" t="n">
        <v>4</v>
      </c>
      <c r="H611" s="17" t="n">
        <v>10</v>
      </c>
      <c r="I611" s="18" t="n">
        <v>11</v>
      </c>
      <c r="J611" s="19" t="n">
        <v>12</v>
      </c>
      <c r="K611" s="20" t="n">
        <v>20</v>
      </c>
      <c r="L611" s="21" t="n">
        <v>27</v>
      </c>
      <c r="M611" s="22" t="n">
        <v>38</v>
      </c>
      <c r="N611" s="15" t="n">
        <f aca="false">SUMPRODUCT(COUNTIF(G611:L611,번호조회!$B$4:$B$9))</f>
        <v>0</v>
      </c>
    </row>
    <row r="612" customFormat="false" ht="16.5" hidden="false" customHeight="true" outlineLevel="0" collapsed="false">
      <c r="E612" s="1" t="n">
        <f aca="false">$E$13-($F$13-F612)*7</f>
        <v>42021</v>
      </c>
      <c r="F612" s="12" t="n">
        <v>633</v>
      </c>
      <c r="G612" s="16" t="n">
        <v>9</v>
      </c>
      <c r="H612" s="17" t="n">
        <v>12</v>
      </c>
      <c r="I612" s="18" t="n">
        <v>19</v>
      </c>
      <c r="J612" s="19" t="n">
        <v>20</v>
      </c>
      <c r="K612" s="20" t="n">
        <v>39</v>
      </c>
      <c r="L612" s="21" t="n">
        <v>41</v>
      </c>
      <c r="M612" s="22" t="n">
        <v>13</v>
      </c>
      <c r="N612" s="15" t="n">
        <f aca="false">SUMPRODUCT(COUNTIF(G612:L612,번호조회!$B$4:$B$9))</f>
        <v>0</v>
      </c>
    </row>
    <row r="613" customFormat="false" ht="16.5" hidden="false" customHeight="true" outlineLevel="0" collapsed="false">
      <c r="E613" s="1" t="n">
        <f aca="false">$E$13-($F$13-F613)*7</f>
        <v>42014</v>
      </c>
      <c r="F613" s="12" t="n">
        <v>632</v>
      </c>
      <c r="G613" s="16" t="n">
        <v>15</v>
      </c>
      <c r="H613" s="17" t="n">
        <v>18</v>
      </c>
      <c r="I613" s="18" t="n">
        <v>21</v>
      </c>
      <c r="J613" s="19" t="n">
        <v>32</v>
      </c>
      <c r="K613" s="20" t="n">
        <v>35</v>
      </c>
      <c r="L613" s="21" t="n">
        <v>44</v>
      </c>
      <c r="M613" s="22" t="n">
        <v>6</v>
      </c>
      <c r="N613" s="15" t="n">
        <f aca="false">SUMPRODUCT(COUNTIF(G613:L613,번호조회!$B$4:$B$9))</f>
        <v>0</v>
      </c>
    </row>
    <row r="614" customFormat="false" ht="16.5" hidden="false" customHeight="true" outlineLevel="0" collapsed="false">
      <c r="E614" s="1" t="n">
        <f aca="false">$E$13-($F$13-F614)*7</f>
        <v>42007</v>
      </c>
      <c r="F614" s="12" t="n">
        <v>631</v>
      </c>
      <c r="G614" s="16" t="n">
        <v>1</v>
      </c>
      <c r="H614" s="17" t="n">
        <v>2</v>
      </c>
      <c r="I614" s="18" t="n">
        <v>4</v>
      </c>
      <c r="J614" s="19" t="n">
        <v>23</v>
      </c>
      <c r="K614" s="20" t="n">
        <v>31</v>
      </c>
      <c r="L614" s="21" t="n">
        <v>34</v>
      </c>
      <c r="M614" s="22" t="n">
        <v>8</v>
      </c>
      <c r="N614" s="15" t="n">
        <f aca="false">SUMPRODUCT(COUNTIF(G614:L614,번호조회!$B$4:$B$9))</f>
        <v>0</v>
      </c>
    </row>
    <row r="615" customFormat="false" ht="16.5" hidden="false" customHeight="true" outlineLevel="0" collapsed="false">
      <c r="E615" s="1" t="n">
        <f aca="false">$E$13-($F$13-F615)*7</f>
        <v>42000</v>
      </c>
      <c r="F615" s="12" t="n">
        <v>630</v>
      </c>
      <c r="G615" s="16" t="n">
        <v>8</v>
      </c>
      <c r="H615" s="17" t="n">
        <v>17</v>
      </c>
      <c r="I615" s="18" t="n">
        <v>21</v>
      </c>
      <c r="J615" s="19" t="n">
        <v>24</v>
      </c>
      <c r="K615" s="20" t="n">
        <v>27</v>
      </c>
      <c r="L615" s="21" t="n">
        <v>31</v>
      </c>
      <c r="M615" s="22" t="n">
        <v>15</v>
      </c>
      <c r="N615" s="15" t="n">
        <f aca="false">SUMPRODUCT(COUNTIF(G615:L615,번호조회!$B$4:$B$9))</f>
        <v>0</v>
      </c>
    </row>
    <row r="616" customFormat="false" ht="16.5" hidden="false" customHeight="true" outlineLevel="0" collapsed="false">
      <c r="E616" s="1" t="n">
        <f aca="false">$E$13-($F$13-F616)*7</f>
        <v>41993</v>
      </c>
      <c r="F616" s="12" t="n">
        <v>629</v>
      </c>
      <c r="G616" s="16" t="n">
        <v>19</v>
      </c>
      <c r="H616" s="17" t="n">
        <v>28</v>
      </c>
      <c r="I616" s="18" t="n">
        <v>31</v>
      </c>
      <c r="J616" s="19" t="n">
        <v>38</v>
      </c>
      <c r="K616" s="20" t="n">
        <v>43</v>
      </c>
      <c r="L616" s="21" t="n">
        <v>44</v>
      </c>
      <c r="M616" s="22" t="n">
        <v>1</v>
      </c>
      <c r="N616" s="15" t="n">
        <f aca="false">SUMPRODUCT(COUNTIF(G616:L616,번호조회!$B$4:$B$9))</f>
        <v>0</v>
      </c>
    </row>
    <row r="617" customFormat="false" ht="16.5" hidden="false" customHeight="true" outlineLevel="0" collapsed="false">
      <c r="E617" s="1" t="n">
        <f aca="false">$E$13-($F$13-F617)*7</f>
        <v>41986</v>
      </c>
      <c r="F617" s="12" t="n">
        <v>628</v>
      </c>
      <c r="G617" s="16" t="n">
        <v>1</v>
      </c>
      <c r="H617" s="17" t="n">
        <v>7</v>
      </c>
      <c r="I617" s="18" t="n">
        <v>12</v>
      </c>
      <c r="J617" s="19" t="n">
        <v>15</v>
      </c>
      <c r="K617" s="20" t="n">
        <v>23</v>
      </c>
      <c r="L617" s="21" t="n">
        <v>42</v>
      </c>
      <c r="M617" s="22" t="n">
        <v>11</v>
      </c>
      <c r="N617" s="15" t="n">
        <f aca="false">SUMPRODUCT(COUNTIF(G617:L617,번호조회!$B$4:$B$9))</f>
        <v>0</v>
      </c>
    </row>
    <row r="618" customFormat="false" ht="16.5" hidden="false" customHeight="true" outlineLevel="0" collapsed="false">
      <c r="E618" s="1" t="n">
        <f aca="false">$E$13-($F$13-F618)*7</f>
        <v>41979</v>
      </c>
      <c r="F618" s="12" t="n">
        <v>627</v>
      </c>
      <c r="G618" s="16" t="n">
        <v>2</v>
      </c>
      <c r="H618" s="17" t="n">
        <v>9</v>
      </c>
      <c r="I618" s="18" t="n">
        <v>22</v>
      </c>
      <c r="J618" s="19" t="n">
        <v>25</v>
      </c>
      <c r="K618" s="20" t="n">
        <v>31</v>
      </c>
      <c r="L618" s="21" t="n">
        <v>45</v>
      </c>
      <c r="M618" s="22" t="n">
        <v>12</v>
      </c>
      <c r="N618" s="15" t="n">
        <f aca="false">SUMPRODUCT(COUNTIF(G618:L618,번호조회!$B$4:$B$9))</f>
        <v>0</v>
      </c>
    </row>
    <row r="619" customFormat="false" ht="16.5" hidden="false" customHeight="true" outlineLevel="0" collapsed="false">
      <c r="E619" s="1" t="n">
        <f aca="false">$E$13-($F$13-F619)*7</f>
        <v>41972</v>
      </c>
      <c r="F619" s="12" t="n">
        <v>626</v>
      </c>
      <c r="G619" s="16" t="n">
        <v>13</v>
      </c>
      <c r="H619" s="17" t="n">
        <v>14</v>
      </c>
      <c r="I619" s="18" t="n">
        <v>26</v>
      </c>
      <c r="J619" s="19" t="n">
        <v>33</v>
      </c>
      <c r="K619" s="20" t="n">
        <v>40</v>
      </c>
      <c r="L619" s="21" t="n">
        <v>43</v>
      </c>
      <c r="M619" s="22" t="n">
        <v>15</v>
      </c>
      <c r="N619" s="15" t="n">
        <f aca="false">SUMPRODUCT(COUNTIF(G619:L619,번호조회!$B$4:$B$9))</f>
        <v>0</v>
      </c>
    </row>
    <row r="620" customFormat="false" ht="16.5" hidden="false" customHeight="true" outlineLevel="0" collapsed="false">
      <c r="E620" s="1" t="n">
        <f aca="false">$E$13-($F$13-F620)*7</f>
        <v>41965</v>
      </c>
      <c r="F620" s="12" t="n">
        <v>625</v>
      </c>
      <c r="G620" s="16" t="n">
        <v>3</v>
      </c>
      <c r="H620" s="17" t="n">
        <v>6</v>
      </c>
      <c r="I620" s="18" t="n">
        <v>7</v>
      </c>
      <c r="J620" s="19" t="n">
        <v>20</v>
      </c>
      <c r="K620" s="20" t="n">
        <v>21</v>
      </c>
      <c r="L620" s="21" t="n">
        <v>39</v>
      </c>
      <c r="M620" s="22" t="n">
        <v>13</v>
      </c>
      <c r="N620" s="15" t="n">
        <f aca="false">SUMPRODUCT(COUNTIF(G620:L620,번호조회!$B$4:$B$9))</f>
        <v>0</v>
      </c>
    </row>
    <row r="621" customFormat="false" ht="16.5" hidden="false" customHeight="true" outlineLevel="0" collapsed="false">
      <c r="E621" s="1" t="n">
        <f aca="false">$E$13-($F$13-F621)*7</f>
        <v>41958</v>
      </c>
      <c r="F621" s="12" t="n">
        <v>624</v>
      </c>
      <c r="G621" s="16" t="n">
        <v>1</v>
      </c>
      <c r="H621" s="17" t="n">
        <v>7</v>
      </c>
      <c r="I621" s="18" t="n">
        <v>19</v>
      </c>
      <c r="J621" s="19" t="n">
        <v>26</v>
      </c>
      <c r="K621" s="20" t="n">
        <v>27</v>
      </c>
      <c r="L621" s="21" t="n">
        <v>35</v>
      </c>
      <c r="M621" s="22" t="n">
        <v>16</v>
      </c>
      <c r="N621" s="15" t="n">
        <f aca="false">SUMPRODUCT(COUNTIF(G621:L621,번호조회!$B$4:$B$9))</f>
        <v>0</v>
      </c>
    </row>
    <row r="622" customFormat="false" ht="16.5" hidden="false" customHeight="true" outlineLevel="0" collapsed="false">
      <c r="E622" s="1" t="n">
        <f aca="false">$E$13-($F$13-F622)*7</f>
        <v>41951</v>
      </c>
      <c r="F622" s="12" t="n">
        <v>623</v>
      </c>
      <c r="G622" s="16" t="n">
        <v>7</v>
      </c>
      <c r="H622" s="17" t="n">
        <v>13</v>
      </c>
      <c r="I622" s="18" t="n">
        <v>30</v>
      </c>
      <c r="J622" s="19" t="n">
        <v>39</v>
      </c>
      <c r="K622" s="20" t="n">
        <v>41</v>
      </c>
      <c r="L622" s="21" t="n">
        <v>45</v>
      </c>
      <c r="M622" s="22" t="n">
        <v>25</v>
      </c>
      <c r="N622" s="15" t="n">
        <f aca="false">SUMPRODUCT(COUNTIF(G622:L622,번호조회!$B$4:$B$9))</f>
        <v>0</v>
      </c>
    </row>
    <row r="623" customFormat="false" ht="16.5" hidden="false" customHeight="true" outlineLevel="0" collapsed="false">
      <c r="E623" s="1" t="n">
        <f aca="false">$E$13-($F$13-F623)*7</f>
        <v>41944</v>
      </c>
      <c r="F623" s="12" t="n">
        <v>622</v>
      </c>
      <c r="G623" s="16" t="n">
        <v>9</v>
      </c>
      <c r="H623" s="17" t="n">
        <v>15</v>
      </c>
      <c r="I623" s="18" t="n">
        <v>16</v>
      </c>
      <c r="J623" s="19" t="n">
        <v>21</v>
      </c>
      <c r="K623" s="20" t="n">
        <v>28</v>
      </c>
      <c r="L623" s="21" t="n">
        <v>34</v>
      </c>
      <c r="M623" s="22" t="n">
        <v>24</v>
      </c>
      <c r="N623" s="15" t="n">
        <f aca="false">SUMPRODUCT(COUNTIF(G623:L623,번호조회!$B$4:$B$9))</f>
        <v>0</v>
      </c>
    </row>
    <row r="624" customFormat="false" ht="16.5" hidden="false" customHeight="true" outlineLevel="0" collapsed="false">
      <c r="E624" s="1" t="n">
        <f aca="false">$E$13-($F$13-F624)*7</f>
        <v>41937</v>
      </c>
      <c r="F624" s="12" t="n">
        <v>621</v>
      </c>
      <c r="G624" s="16" t="n">
        <v>1</v>
      </c>
      <c r="H624" s="17" t="n">
        <v>2</v>
      </c>
      <c r="I624" s="18" t="n">
        <v>6</v>
      </c>
      <c r="J624" s="19" t="n">
        <v>16</v>
      </c>
      <c r="K624" s="20" t="n">
        <v>19</v>
      </c>
      <c r="L624" s="21" t="n">
        <v>42</v>
      </c>
      <c r="M624" s="22" t="n">
        <v>9</v>
      </c>
      <c r="N624" s="15" t="n">
        <f aca="false">SUMPRODUCT(COUNTIF(G624:L624,번호조회!$B$4:$B$9))</f>
        <v>0</v>
      </c>
    </row>
    <row r="625" customFormat="false" ht="16.5" hidden="false" customHeight="true" outlineLevel="0" collapsed="false">
      <c r="E625" s="1" t="n">
        <f aca="false">$E$13-($F$13-F625)*7</f>
        <v>41930</v>
      </c>
      <c r="F625" s="12" t="n">
        <v>620</v>
      </c>
      <c r="G625" s="16" t="n">
        <v>2</v>
      </c>
      <c r="H625" s="17" t="n">
        <v>16</v>
      </c>
      <c r="I625" s="18" t="n">
        <v>17</v>
      </c>
      <c r="J625" s="19" t="n">
        <v>32</v>
      </c>
      <c r="K625" s="20" t="n">
        <v>39</v>
      </c>
      <c r="L625" s="21" t="n">
        <v>45</v>
      </c>
      <c r="M625" s="22" t="n">
        <v>40</v>
      </c>
      <c r="N625" s="15" t="n">
        <f aca="false">SUMPRODUCT(COUNTIF(G625:L625,번호조회!$B$4:$B$9))</f>
        <v>0</v>
      </c>
    </row>
    <row r="626" customFormat="false" ht="16.5" hidden="false" customHeight="true" outlineLevel="0" collapsed="false">
      <c r="E626" s="1" t="n">
        <f aca="false">$E$13-($F$13-F626)*7</f>
        <v>41923</v>
      </c>
      <c r="F626" s="12" t="n">
        <v>619</v>
      </c>
      <c r="G626" s="16" t="n">
        <v>6</v>
      </c>
      <c r="H626" s="17" t="n">
        <v>8</v>
      </c>
      <c r="I626" s="18" t="n">
        <v>13</v>
      </c>
      <c r="J626" s="19" t="n">
        <v>30</v>
      </c>
      <c r="K626" s="20" t="n">
        <v>35</v>
      </c>
      <c r="L626" s="21" t="n">
        <v>40</v>
      </c>
      <c r="M626" s="22" t="n">
        <v>21</v>
      </c>
      <c r="N626" s="15" t="n">
        <f aca="false">SUMPRODUCT(COUNTIF(G626:L626,번호조회!$B$4:$B$9))</f>
        <v>0</v>
      </c>
    </row>
    <row r="627" customFormat="false" ht="16.5" hidden="false" customHeight="true" outlineLevel="0" collapsed="false">
      <c r="E627" s="1" t="n">
        <f aca="false">$E$13-($F$13-F627)*7</f>
        <v>41916</v>
      </c>
      <c r="F627" s="12" t="n">
        <v>618</v>
      </c>
      <c r="G627" s="16" t="n">
        <v>8</v>
      </c>
      <c r="H627" s="17" t="n">
        <v>16</v>
      </c>
      <c r="I627" s="18" t="n">
        <v>25</v>
      </c>
      <c r="J627" s="19" t="n">
        <v>30</v>
      </c>
      <c r="K627" s="20" t="n">
        <v>42</v>
      </c>
      <c r="L627" s="21" t="n">
        <v>43</v>
      </c>
      <c r="M627" s="22" t="n">
        <v>15</v>
      </c>
      <c r="N627" s="15" t="n">
        <f aca="false">SUMPRODUCT(COUNTIF(G627:L627,번호조회!$B$4:$B$9))</f>
        <v>0</v>
      </c>
    </row>
    <row r="628" customFormat="false" ht="16.5" hidden="false" customHeight="true" outlineLevel="0" collapsed="false">
      <c r="E628" s="1" t="n">
        <f aca="false">$E$13-($F$13-F628)*7</f>
        <v>41909</v>
      </c>
      <c r="F628" s="12" t="n">
        <v>617</v>
      </c>
      <c r="G628" s="16" t="n">
        <v>4</v>
      </c>
      <c r="H628" s="17" t="n">
        <v>5</v>
      </c>
      <c r="I628" s="18" t="n">
        <v>11</v>
      </c>
      <c r="J628" s="19" t="n">
        <v>12</v>
      </c>
      <c r="K628" s="20" t="n">
        <v>24</v>
      </c>
      <c r="L628" s="21" t="n">
        <v>27</v>
      </c>
      <c r="M628" s="22" t="n">
        <v>28</v>
      </c>
      <c r="N628" s="15" t="n">
        <f aca="false">SUMPRODUCT(COUNTIF(G628:L628,번호조회!$B$4:$B$9))</f>
        <v>0</v>
      </c>
    </row>
    <row r="629" customFormat="false" ht="16.5" hidden="false" customHeight="true" outlineLevel="0" collapsed="false">
      <c r="E629" s="1" t="n">
        <f aca="false">$E$13-($F$13-F629)*7</f>
        <v>41902</v>
      </c>
      <c r="F629" s="12" t="n">
        <v>616</v>
      </c>
      <c r="G629" s="16" t="n">
        <v>5</v>
      </c>
      <c r="H629" s="17" t="n">
        <v>13</v>
      </c>
      <c r="I629" s="18" t="n">
        <v>18</v>
      </c>
      <c r="J629" s="19" t="n">
        <v>23</v>
      </c>
      <c r="K629" s="20" t="n">
        <v>40</v>
      </c>
      <c r="L629" s="21" t="n">
        <v>45</v>
      </c>
      <c r="M629" s="22" t="n">
        <v>3</v>
      </c>
      <c r="N629" s="15" t="n">
        <f aca="false">SUMPRODUCT(COUNTIF(G629:L629,번호조회!$B$4:$B$9))</f>
        <v>0</v>
      </c>
    </row>
    <row r="630" customFormat="false" ht="16.5" hidden="false" customHeight="true" outlineLevel="0" collapsed="false">
      <c r="E630" s="1" t="n">
        <f aca="false">$E$13-($F$13-F630)*7</f>
        <v>41895</v>
      </c>
      <c r="F630" s="12" t="n">
        <v>615</v>
      </c>
      <c r="G630" s="16" t="n">
        <v>10</v>
      </c>
      <c r="H630" s="17" t="n">
        <v>17</v>
      </c>
      <c r="I630" s="18" t="n">
        <v>18</v>
      </c>
      <c r="J630" s="19" t="n">
        <v>19</v>
      </c>
      <c r="K630" s="20" t="n">
        <v>23</v>
      </c>
      <c r="L630" s="21" t="n">
        <v>27</v>
      </c>
      <c r="M630" s="22" t="n">
        <v>35</v>
      </c>
      <c r="N630" s="15" t="n">
        <f aca="false">SUMPRODUCT(COUNTIF(G630:L630,번호조회!$B$4:$B$9))</f>
        <v>0</v>
      </c>
    </row>
    <row r="631" customFormat="false" ht="16.5" hidden="false" customHeight="true" outlineLevel="0" collapsed="false">
      <c r="E631" s="1" t="n">
        <f aca="false">$E$13-($F$13-F631)*7</f>
        <v>41888</v>
      </c>
      <c r="F631" s="12" t="n">
        <v>614</v>
      </c>
      <c r="G631" s="16" t="n">
        <v>8</v>
      </c>
      <c r="H631" s="17" t="n">
        <v>21</v>
      </c>
      <c r="I631" s="18" t="n">
        <v>25</v>
      </c>
      <c r="J631" s="19" t="n">
        <v>39</v>
      </c>
      <c r="K631" s="20" t="n">
        <v>40</v>
      </c>
      <c r="L631" s="21" t="n">
        <v>44</v>
      </c>
      <c r="M631" s="22" t="n">
        <v>18</v>
      </c>
      <c r="N631" s="15" t="n">
        <f aca="false">SUMPRODUCT(COUNTIF(G631:L631,번호조회!$B$4:$B$9))</f>
        <v>0</v>
      </c>
    </row>
    <row r="632" customFormat="false" ht="16.5" hidden="false" customHeight="true" outlineLevel="0" collapsed="false">
      <c r="E632" s="1" t="n">
        <f aca="false">$E$13-($F$13-F632)*7</f>
        <v>41881</v>
      </c>
      <c r="F632" s="12" t="n">
        <v>613</v>
      </c>
      <c r="G632" s="16" t="n">
        <v>7</v>
      </c>
      <c r="H632" s="17" t="n">
        <v>8</v>
      </c>
      <c r="I632" s="18" t="n">
        <v>11</v>
      </c>
      <c r="J632" s="19" t="n">
        <v>16</v>
      </c>
      <c r="K632" s="20" t="n">
        <v>41</v>
      </c>
      <c r="L632" s="21" t="n">
        <v>44</v>
      </c>
      <c r="M632" s="22" t="n">
        <v>35</v>
      </c>
      <c r="N632" s="15" t="n">
        <f aca="false">SUMPRODUCT(COUNTIF(G632:L632,번호조회!$B$4:$B$9))</f>
        <v>0</v>
      </c>
    </row>
    <row r="633" customFormat="false" ht="16.5" hidden="false" customHeight="true" outlineLevel="0" collapsed="false">
      <c r="E633" s="1" t="n">
        <f aca="false">$E$13-($F$13-F633)*7</f>
        <v>41874</v>
      </c>
      <c r="F633" s="12" t="n">
        <v>612</v>
      </c>
      <c r="G633" s="16" t="n">
        <v>6</v>
      </c>
      <c r="H633" s="17" t="n">
        <v>9</v>
      </c>
      <c r="I633" s="18" t="n">
        <v>18</v>
      </c>
      <c r="J633" s="19" t="n">
        <v>19</v>
      </c>
      <c r="K633" s="20" t="n">
        <v>25</v>
      </c>
      <c r="L633" s="21" t="n">
        <v>33</v>
      </c>
      <c r="M633" s="22" t="n">
        <v>40</v>
      </c>
      <c r="N633" s="15" t="n">
        <f aca="false">SUMPRODUCT(COUNTIF(G633:L633,번호조회!$B$4:$B$9))</f>
        <v>0</v>
      </c>
    </row>
    <row r="634" customFormat="false" ht="16.5" hidden="false" customHeight="true" outlineLevel="0" collapsed="false">
      <c r="E634" s="1" t="n">
        <f aca="false">$E$13-($F$13-F634)*7</f>
        <v>41867</v>
      </c>
      <c r="F634" s="12" t="n">
        <v>611</v>
      </c>
      <c r="G634" s="16" t="n">
        <v>2</v>
      </c>
      <c r="H634" s="17" t="n">
        <v>22</v>
      </c>
      <c r="I634" s="18" t="n">
        <v>27</v>
      </c>
      <c r="J634" s="19" t="n">
        <v>33</v>
      </c>
      <c r="K634" s="20" t="n">
        <v>36</v>
      </c>
      <c r="L634" s="21" t="n">
        <v>37</v>
      </c>
      <c r="M634" s="22" t="n">
        <v>14</v>
      </c>
      <c r="N634" s="15" t="n">
        <f aca="false">SUMPRODUCT(COUNTIF(G634:L634,번호조회!$B$4:$B$9))</f>
        <v>0</v>
      </c>
    </row>
    <row r="635" customFormat="false" ht="16.5" hidden="false" customHeight="true" outlineLevel="0" collapsed="false">
      <c r="E635" s="1" t="n">
        <f aca="false">$E$13-($F$13-F635)*7</f>
        <v>41860</v>
      </c>
      <c r="F635" s="12" t="n">
        <v>610</v>
      </c>
      <c r="G635" s="16" t="n">
        <v>14</v>
      </c>
      <c r="H635" s="17" t="n">
        <v>18</v>
      </c>
      <c r="I635" s="18" t="n">
        <v>20</v>
      </c>
      <c r="J635" s="19" t="n">
        <v>23</v>
      </c>
      <c r="K635" s="20" t="n">
        <v>28</v>
      </c>
      <c r="L635" s="21" t="n">
        <v>36</v>
      </c>
      <c r="M635" s="22" t="n">
        <v>33</v>
      </c>
      <c r="N635" s="15" t="n">
        <f aca="false">SUMPRODUCT(COUNTIF(G635:L635,번호조회!$B$4:$B$9))</f>
        <v>0</v>
      </c>
    </row>
    <row r="636" customFormat="false" ht="16.5" hidden="false" customHeight="true" outlineLevel="0" collapsed="false">
      <c r="E636" s="1" t="n">
        <f aca="false">$E$13-($F$13-F636)*7</f>
        <v>41853</v>
      </c>
      <c r="F636" s="12" t="n">
        <v>609</v>
      </c>
      <c r="G636" s="16" t="n">
        <v>4</v>
      </c>
      <c r="H636" s="17" t="n">
        <v>8</v>
      </c>
      <c r="I636" s="18" t="n">
        <v>27</v>
      </c>
      <c r="J636" s="19" t="n">
        <v>34</v>
      </c>
      <c r="K636" s="20" t="n">
        <v>39</v>
      </c>
      <c r="L636" s="21" t="n">
        <v>40</v>
      </c>
      <c r="M636" s="22" t="n">
        <v>13</v>
      </c>
      <c r="N636" s="15" t="n">
        <f aca="false">SUMPRODUCT(COUNTIF(G636:L636,번호조회!$B$4:$B$9))</f>
        <v>0</v>
      </c>
    </row>
    <row r="637" customFormat="false" ht="16.5" hidden="false" customHeight="true" outlineLevel="0" collapsed="false">
      <c r="E637" s="1" t="n">
        <f aca="false">$E$13-($F$13-F637)*7</f>
        <v>41846</v>
      </c>
      <c r="F637" s="12" t="n">
        <v>608</v>
      </c>
      <c r="G637" s="16" t="n">
        <v>4</v>
      </c>
      <c r="H637" s="17" t="n">
        <v>8</v>
      </c>
      <c r="I637" s="18" t="n">
        <v>18</v>
      </c>
      <c r="J637" s="19" t="n">
        <v>19</v>
      </c>
      <c r="K637" s="20" t="n">
        <v>39</v>
      </c>
      <c r="L637" s="21" t="n">
        <v>44</v>
      </c>
      <c r="M637" s="22" t="n">
        <v>41</v>
      </c>
      <c r="N637" s="15" t="n">
        <f aca="false">SUMPRODUCT(COUNTIF(G637:L637,번호조회!$B$4:$B$9))</f>
        <v>0</v>
      </c>
    </row>
    <row r="638" customFormat="false" ht="16.5" hidden="false" customHeight="true" outlineLevel="0" collapsed="false">
      <c r="E638" s="1" t="n">
        <f aca="false">$E$13-($F$13-F638)*7</f>
        <v>41839</v>
      </c>
      <c r="F638" s="12" t="n">
        <v>607</v>
      </c>
      <c r="G638" s="16" t="n">
        <v>8</v>
      </c>
      <c r="H638" s="17" t="n">
        <v>14</v>
      </c>
      <c r="I638" s="18" t="n">
        <v>23</v>
      </c>
      <c r="J638" s="19" t="n">
        <v>36</v>
      </c>
      <c r="K638" s="20" t="n">
        <v>38</v>
      </c>
      <c r="L638" s="21" t="n">
        <v>39</v>
      </c>
      <c r="M638" s="22" t="n">
        <v>13</v>
      </c>
      <c r="N638" s="15" t="n">
        <f aca="false">SUMPRODUCT(COUNTIF(G638:L638,번호조회!$B$4:$B$9))</f>
        <v>0</v>
      </c>
    </row>
    <row r="639" customFormat="false" ht="16.5" hidden="false" customHeight="true" outlineLevel="0" collapsed="false">
      <c r="E639" s="1" t="n">
        <f aca="false">$E$13-($F$13-F639)*7</f>
        <v>41832</v>
      </c>
      <c r="F639" s="12" t="n">
        <v>606</v>
      </c>
      <c r="G639" s="16" t="n">
        <v>1</v>
      </c>
      <c r="H639" s="17" t="n">
        <v>5</v>
      </c>
      <c r="I639" s="18" t="n">
        <v>6</v>
      </c>
      <c r="J639" s="19" t="n">
        <v>14</v>
      </c>
      <c r="K639" s="20" t="n">
        <v>20</v>
      </c>
      <c r="L639" s="21" t="n">
        <v>39</v>
      </c>
      <c r="M639" s="22" t="n">
        <v>22</v>
      </c>
      <c r="N639" s="15" t="n">
        <f aca="false">SUMPRODUCT(COUNTIF(G639:L639,번호조회!$B$4:$B$9))</f>
        <v>0</v>
      </c>
    </row>
    <row r="640" customFormat="false" ht="16.5" hidden="false" customHeight="true" outlineLevel="0" collapsed="false">
      <c r="E640" s="1" t="n">
        <f aca="false">$E$13-($F$13-F640)*7</f>
        <v>41825</v>
      </c>
      <c r="F640" s="12" t="n">
        <v>605</v>
      </c>
      <c r="G640" s="16" t="n">
        <v>1</v>
      </c>
      <c r="H640" s="17" t="n">
        <v>2</v>
      </c>
      <c r="I640" s="18" t="n">
        <v>7</v>
      </c>
      <c r="J640" s="19" t="n">
        <v>9</v>
      </c>
      <c r="K640" s="20" t="n">
        <v>10</v>
      </c>
      <c r="L640" s="21" t="n">
        <v>38</v>
      </c>
      <c r="M640" s="22" t="n">
        <v>42</v>
      </c>
      <c r="N640" s="15" t="n">
        <f aca="false">SUMPRODUCT(COUNTIF(G640:L640,번호조회!$B$4:$B$9))</f>
        <v>0</v>
      </c>
    </row>
    <row r="641" customFormat="false" ht="16.5" hidden="false" customHeight="true" outlineLevel="0" collapsed="false">
      <c r="E641" s="1" t="n">
        <f aca="false">$E$13-($F$13-F641)*7</f>
        <v>41818</v>
      </c>
      <c r="F641" s="12" t="n">
        <v>604</v>
      </c>
      <c r="G641" s="16" t="n">
        <v>2</v>
      </c>
      <c r="H641" s="17" t="n">
        <v>6</v>
      </c>
      <c r="I641" s="18" t="n">
        <v>18</v>
      </c>
      <c r="J641" s="19" t="n">
        <v>21</v>
      </c>
      <c r="K641" s="20" t="n">
        <v>33</v>
      </c>
      <c r="L641" s="21" t="n">
        <v>34</v>
      </c>
      <c r="M641" s="22" t="n">
        <v>30</v>
      </c>
      <c r="N641" s="15" t="n">
        <f aca="false">SUMPRODUCT(COUNTIF(G641:L641,번호조회!$B$4:$B$9))</f>
        <v>0</v>
      </c>
    </row>
    <row r="642" customFormat="false" ht="16.5" hidden="false" customHeight="true" outlineLevel="0" collapsed="false">
      <c r="E642" s="1" t="n">
        <f aca="false">$E$13-($F$13-F642)*7</f>
        <v>41811</v>
      </c>
      <c r="F642" s="12" t="n">
        <v>603</v>
      </c>
      <c r="G642" s="16" t="n">
        <v>2</v>
      </c>
      <c r="H642" s="17" t="n">
        <v>19</v>
      </c>
      <c r="I642" s="18" t="n">
        <v>25</v>
      </c>
      <c r="J642" s="19" t="n">
        <v>26</v>
      </c>
      <c r="K642" s="20" t="n">
        <v>27</v>
      </c>
      <c r="L642" s="21" t="n">
        <v>43</v>
      </c>
      <c r="M642" s="22" t="n">
        <v>28</v>
      </c>
      <c r="N642" s="15" t="n">
        <f aca="false">SUMPRODUCT(COUNTIF(G642:L642,번호조회!$B$4:$B$9))</f>
        <v>0</v>
      </c>
    </row>
    <row r="643" customFormat="false" ht="16.5" hidden="false" customHeight="true" outlineLevel="0" collapsed="false">
      <c r="E643" s="1" t="n">
        <f aca="false">$E$13-($F$13-F643)*7</f>
        <v>41804</v>
      </c>
      <c r="F643" s="12" t="n">
        <v>602</v>
      </c>
      <c r="G643" s="16" t="n">
        <v>13</v>
      </c>
      <c r="H643" s="17" t="n">
        <v>14</v>
      </c>
      <c r="I643" s="18" t="n">
        <v>22</v>
      </c>
      <c r="J643" s="19" t="n">
        <v>27</v>
      </c>
      <c r="K643" s="20" t="n">
        <v>30</v>
      </c>
      <c r="L643" s="21" t="n">
        <v>38</v>
      </c>
      <c r="M643" s="22" t="n">
        <v>2</v>
      </c>
      <c r="N643" s="15" t="n">
        <f aca="false">SUMPRODUCT(COUNTIF(G643:L643,번호조회!$B$4:$B$9))</f>
        <v>0</v>
      </c>
    </row>
    <row r="644" customFormat="false" ht="16.5" hidden="false" customHeight="true" outlineLevel="0" collapsed="false">
      <c r="E644" s="1" t="n">
        <f aca="false">$E$13-($F$13-F644)*7</f>
        <v>41797</v>
      </c>
      <c r="F644" s="12" t="n">
        <v>601</v>
      </c>
      <c r="G644" s="16" t="n">
        <v>2</v>
      </c>
      <c r="H644" s="17" t="n">
        <v>16</v>
      </c>
      <c r="I644" s="18" t="n">
        <v>19</v>
      </c>
      <c r="J644" s="19" t="n">
        <v>31</v>
      </c>
      <c r="K644" s="20" t="n">
        <v>34</v>
      </c>
      <c r="L644" s="21" t="n">
        <v>35</v>
      </c>
      <c r="M644" s="22" t="n">
        <v>37</v>
      </c>
      <c r="N644" s="15" t="n">
        <f aca="false">SUMPRODUCT(COUNTIF(G644:L644,번호조회!$B$4:$B$9))</f>
        <v>0</v>
      </c>
    </row>
    <row r="645" customFormat="false" ht="16.5" hidden="false" customHeight="true" outlineLevel="0" collapsed="false">
      <c r="E645" s="1" t="n">
        <f aca="false">$E$13-($F$13-F645)*7</f>
        <v>41790</v>
      </c>
      <c r="F645" s="12" t="n">
        <v>600</v>
      </c>
      <c r="G645" s="16" t="n">
        <v>5</v>
      </c>
      <c r="H645" s="17" t="n">
        <v>11</v>
      </c>
      <c r="I645" s="18" t="n">
        <v>14</v>
      </c>
      <c r="J645" s="19" t="n">
        <v>27</v>
      </c>
      <c r="K645" s="20" t="n">
        <v>29</v>
      </c>
      <c r="L645" s="21" t="n">
        <v>36</v>
      </c>
      <c r="M645" s="22" t="n">
        <v>44</v>
      </c>
      <c r="N645" s="15" t="n">
        <f aca="false">SUMPRODUCT(COUNTIF(G645:L645,번호조회!$B$4:$B$9))</f>
        <v>0</v>
      </c>
    </row>
    <row r="646" customFormat="false" ht="16.5" hidden="false" customHeight="true" outlineLevel="0" collapsed="false">
      <c r="E646" s="1" t="n">
        <f aca="false">$E$13-($F$13-F646)*7</f>
        <v>41783</v>
      </c>
      <c r="F646" s="12" t="n">
        <v>599</v>
      </c>
      <c r="G646" s="16" t="n">
        <v>5</v>
      </c>
      <c r="H646" s="17" t="n">
        <v>12</v>
      </c>
      <c r="I646" s="18" t="n">
        <v>17</v>
      </c>
      <c r="J646" s="19" t="n">
        <v>29</v>
      </c>
      <c r="K646" s="20" t="n">
        <v>34</v>
      </c>
      <c r="L646" s="21" t="n">
        <v>35</v>
      </c>
      <c r="M646" s="22" t="n">
        <v>27</v>
      </c>
      <c r="N646" s="15" t="n">
        <f aca="false">SUMPRODUCT(COUNTIF(G646:L646,번호조회!$B$4:$B$9))</f>
        <v>0</v>
      </c>
    </row>
    <row r="647" customFormat="false" ht="16.5" hidden="false" customHeight="true" outlineLevel="0" collapsed="false">
      <c r="E647" s="1" t="n">
        <f aca="false">$E$13-($F$13-F647)*7</f>
        <v>41776</v>
      </c>
      <c r="F647" s="12" t="n">
        <v>598</v>
      </c>
      <c r="G647" s="16" t="n">
        <v>4</v>
      </c>
      <c r="H647" s="17" t="n">
        <v>12</v>
      </c>
      <c r="I647" s="18" t="n">
        <v>24</v>
      </c>
      <c r="J647" s="19" t="n">
        <v>33</v>
      </c>
      <c r="K647" s="20" t="n">
        <v>38</v>
      </c>
      <c r="L647" s="21" t="n">
        <v>45</v>
      </c>
      <c r="M647" s="22" t="n">
        <v>22</v>
      </c>
      <c r="N647" s="15" t="n">
        <f aca="false">SUMPRODUCT(COUNTIF(G647:L647,번호조회!$B$4:$B$9))</f>
        <v>0</v>
      </c>
    </row>
    <row r="648" customFormat="false" ht="16.5" hidden="false" customHeight="true" outlineLevel="0" collapsed="false">
      <c r="E648" s="1" t="n">
        <f aca="false">$E$13-($F$13-F648)*7</f>
        <v>41769</v>
      </c>
      <c r="F648" s="12" t="n">
        <v>597</v>
      </c>
      <c r="G648" s="16" t="n">
        <v>8</v>
      </c>
      <c r="H648" s="17" t="n">
        <v>10</v>
      </c>
      <c r="I648" s="18" t="n">
        <v>23</v>
      </c>
      <c r="J648" s="19" t="n">
        <v>24</v>
      </c>
      <c r="K648" s="20" t="n">
        <v>35</v>
      </c>
      <c r="L648" s="21" t="n">
        <v>43</v>
      </c>
      <c r="M648" s="22" t="n">
        <v>37</v>
      </c>
      <c r="N648" s="15" t="n">
        <f aca="false">SUMPRODUCT(COUNTIF(G648:L648,번호조회!$B$4:$B$9))</f>
        <v>0</v>
      </c>
    </row>
    <row r="649" customFormat="false" ht="16.5" hidden="false" customHeight="true" outlineLevel="0" collapsed="false">
      <c r="E649" s="1" t="n">
        <f aca="false">$E$13-($F$13-F649)*7</f>
        <v>41762</v>
      </c>
      <c r="F649" s="12" t="n">
        <v>596</v>
      </c>
      <c r="G649" s="16" t="n">
        <v>3</v>
      </c>
      <c r="H649" s="17" t="n">
        <v>4</v>
      </c>
      <c r="I649" s="18" t="n">
        <v>12</v>
      </c>
      <c r="J649" s="19" t="n">
        <v>14</v>
      </c>
      <c r="K649" s="20" t="n">
        <v>25</v>
      </c>
      <c r="L649" s="21" t="n">
        <v>43</v>
      </c>
      <c r="M649" s="22" t="n">
        <v>17</v>
      </c>
      <c r="N649" s="15" t="n">
        <f aca="false">SUMPRODUCT(COUNTIF(G649:L649,번호조회!$B$4:$B$9))</f>
        <v>0</v>
      </c>
    </row>
    <row r="650" customFormat="false" ht="16.5" hidden="false" customHeight="true" outlineLevel="0" collapsed="false">
      <c r="E650" s="1" t="n">
        <f aca="false">$E$13-($F$13-F650)*7</f>
        <v>41755</v>
      </c>
      <c r="F650" s="12" t="n">
        <v>595</v>
      </c>
      <c r="G650" s="16" t="n">
        <v>8</v>
      </c>
      <c r="H650" s="17" t="n">
        <v>24</v>
      </c>
      <c r="I650" s="18" t="n">
        <v>28</v>
      </c>
      <c r="J650" s="19" t="n">
        <v>35</v>
      </c>
      <c r="K650" s="20" t="n">
        <v>38</v>
      </c>
      <c r="L650" s="21" t="n">
        <v>40</v>
      </c>
      <c r="M650" s="22" t="n">
        <v>5</v>
      </c>
      <c r="N650" s="15" t="n">
        <f aca="false">SUMPRODUCT(COUNTIF(G650:L650,번호조회!$B$4:$B$9))</f>
        <v>0</v>
      </c>
    </row>
    <row r="651" customFormat="false" ht="16.5" hidden="false" customHeight="true" outlineLevel="0" collapsed="false">
      <c r="E651" s="1" t="n">
        <f aca="false">$E$13-($F$13-F651)*7</f>
        <v>41748</v>
      </c>
      <c r="F651" s="12" t="n">
        <v>594</v>
      </c>
      <c r="G651" s="16" t="n">
        <v>2</v>
      </c>
      <c r="H651" s="17" t="n">
        <v>8</v>
      </c>
      <c r="I651" s="18" t="n">
        <v>13</v>
      </c>
      <c r="J651" s="19" t="n">
        <v>25</v>
      </c>
      <c r="K651" s="20" t="n">
        <v>28</v>
      </c>
      <c r="L651" s="21" t="n">
        <v>37</v>
      </c>
      <c r="M651" s="22" t="n">
        <v>3</v>
      </c>
      <c r="N651" s="15" t="n">
        <f aca="false">SUMPRODUCT(COUNTIF(G651:L651,번호조회!$B$4:$B$9))</f>
        <v>0</v>
      </c>
    </row>
    <row r="652" customFormat="false" ht="16.5" hidden="false" customHeight="true" outlineLevel="0" collapsed="false">
      <c r="E652" s="1" t="n">
        <f aca="false">$E$13-($F$13-F652)*7</f>
        <v>41741</v>
      </c>
      <c r="F652" s="12" t="n">
        <v>593</v>
      </c>
      <c r="G652" s="16" t="n">
        <v>9</v>
      </c>
      <c r="H652" s="17" t="n">
        <v>10</v>
      </c>
      <c r="I652" s="18" t="n">
        <v>13</v>
      </c>
      <c r="J652" s="19" t="n">
        <v>24</v>
      </c>
      <c r="K652" s="20" t="n">
        <v>33</v>
      </c>
      <c r="L652" s="21" t="n">
        <v>38</v>
      </c>
      <c r="M652" s="22" t="n">
        <v>28</v>
      </c>
      <c r="N652" s="15" t="n">
        <f aca="false">SUMPRODUCT(COUNTIF(G652:L652,번호조회!$B$4:$B$9))</f>
        <v>0</v>
      </c>
    </row>
    <row r="653" customFormat="false" ht="16.5" hidden="false" customHeight="true" outlineLevel="0" collapsed="false">
      <c r="E653" s="1" t="n">
        <f aca="false">$E$13-($F$13-F653)*7</f>
        <v>41734</v>
      </c>
      <c r="F653" s="12" t="n">
        <v>592</v>
      </c>
      <c r="G653" s="16" t="n">
        <v>2</v>
      </c>
      <c r="H653" s="17" t="n">
        <v>5</v>
      </c>
      <c r="I653" s="18" t="n">
        <v>6</v>
      </c>
      <c r="J653" s="19" t="n">
        <v>13</v>
      </c>
      <c r="K653" s="20" t="n">
        <v>28</v>
      </c>
      <c r="L653" s="21" t="n">
        <v>44</v>
      </c>
      <c r="M653" s="22" t="n">
        <v>43</v>
      </c>
      <c r="N653" s="15" t="n">
        <f aca="false">SUMPRODUCT(COUNTIF(G653:L653,번호조회!$B$4:$B$9))</f>
        <v>0</v>
      </c>
    </row>
    <row r="654" customFormat="false" ht="16.5" hidden="false" customHeight="true" outlineLevel="0" collapsed="false">
      <c r="E654" s="1" t="n">
        <f aca="false">$E$13-($F$13-F654)*7</f>
        <v>41727</v>
      </c>
      <c r="F654" s="12" t="n">
        <v>591</v>
      </c>
      <c r="G654" s="16" t="n">
        <v>8</v>
      </c>
      <c r="H654" s="17" t="n">
        <v>13</v>
      </c>
      <c r="I654" s="18" t="n">
        <v>14</v>
      </c>
      <c r="J654" s="19" t="n">
        <v>30</v>
      </c>
      <c r="K654" s="20" t="n">
        <v>38</v>
      </c>
      <c r="L654" s="21" t="n">
        <v>39</v>
      </c>
      <c r="M654" s="22" t="n">
        <v>5</v>
      </c>
      <c r="N654" s="15" t="n">
        <f aca="false">SUMPRODUCT(COUNTIF(G654:L654,번호조회!$B$4:$B$9))</f>
        <v>0</v>
      </c>
    </row>
    <row r="655" customFormat="false" ht="16.5" hidden="false" customHeight="true" outlineLevel="0" collapsed="false">
      <c r="E655" s="1" t="n">
        <f aca="false">$E$13-($F$13-F655)*7</f>
        <v>41720</v>
      </c>
      <c r="F655" s="12" t="n">
        <v>590</v>
      </c>
      <c r="G655" s="16" t="n">
        <v>20</v>
      </c>
      <c r="H655" s="17" t="n">
        <v>30</v>
      </c>
      <c r="I655" s="18" t="n">
        <v>36</v>
      </c>
      <c r="J655" s="19" t="n">
        <v>38</v>
      </c>
      <c r="K655" s="20" t="n">
        <v>41</v>
      </c>
      <c r="L655" s="21" t="n">
        <v>45</v>
      </c>
      <c r="M655" s="22" t="n">
        <v>23</v>
      </c>
      <c r="N655" s="15" t="n">
        <f aca="false">SUMPRODUCT(COUNTIF(G655:L655,번호조회!$B$4:$B$9))</f>
        <v>0</v>
      </c>
    </row>
    <row r="656" customFormat="false" ht="16.5" hidden="false" customHeight="true" outlineLevel="0" collapsed="false">
      <c r="E656" s="1" t="n">
        <f aca="false">$E$13-($F$13-F656)*7</f>
        <v>41713</v>
      </c>
      <c r="F656" s="12" t="n">
        <v>589</v>
      </c>
      <c r="G656" s="16" t="n">
        <v>6</v>
      </c>
      <c r="H656" s="17" t="n">
        <v>8</v>
      </c>
      <c r="I656" s="18" t="n">
        <v>28</v>
      </c>
      <c r="J656" s="19" t="n">
        <v>33</v>
      </c>
      <c r="K656" s="20" t="n">
        <v>38</v>
      </c>
      <c r="L656" s="21" t="n">
        <v>39</v>
      </c>
      <c r="M656" s="22" t="n">
        <v>22</v>
      </c>
      <c r="N656" s="15" t="n">
        <f aca="false">SUMPRODUCT(COUNTIF(G656:L656,번호조회!$B$4:$B$9))</f>
        <v>0</v>
      </c>
    </row>
    <row r="657" customFormat="false" ht="16.5" hidden="false" customHeight="true" outlineLevel="0" collapsed="false">
      <c r="E657" s="1" t="n">
        <f aca="false">$E$13-($F$13-F657)*7</f>
        <v>41706</v>
      </c>
      <c r="F657" s="12" t="n">
        <v>588</v>
      </c>
      <c r="G657" s="16" t="n">
        <v>2</v>
      </c>
      <c r="H657" s="17" t="n">
        <v>8</v>
      </c>
      <c r="I657" s="18" t="n">
        <v>15</v>
      </c>
      <c r="J657" s="19" t="n">
        <v>22</v>
      </c>
      <c r="K657" s="20" t="n">
        <v>25</v>
      </c>
      <c r="L657" s="21" t="n">
        <v>41</v>
      </c>
      <c r="M657" s="22" t="n">
        <v>30</v>
      </c>
      <c r="N657" s="15" t="n">
        <f aca="false">SUMPRODUCT(COUNTIF(G657:L657,번호조회!$B$4:$B$9))</f>
        <v>0</v>
      </c>
    </row>
    <row r="658" customFormat="false" ht="16.5" hidden="false" customHeight="true" outlineLevel="0" collapsed="false">
      <c r="E658" s="1" t="n">
        <f aca="false">$E$13-($F$13-F658)*7</f>
        <v>41699</v>
      </c>
      <c r="F658" s="12" t="n">
        <v>587</v>
      </c>
      <c r="G658" s="16" t="n">
        <v>14</v>
      </c>
      <c r="H658" s="17" t="n">
        <v>21</v>
      </c>
      <c r="I658" s="18" t="n">
        <v>29</v>
      </c>
      <c r="J658" s="19" t="n">
        <v>31</v>
      </c>
      <c r="K658" s="20" t="n">
        <v>32</v>
      </c>
      <c r="L658" s="21" t="n">
        <v>37</v>
      </c>
      <c r="M658" s="22" t="n">
        <v>17</v>
      </c>
      <c r="N658" s="15" t="n">
        <f aca="false">SUMPRODUCT(COUNTIF(G658:L658,번호조회!$B$4:$B$9))</f>
        <v>0</v>
      </c>
    </row>
    <row r="659" customFormat="false" ht="16.5" hidden="false" customHeight="true" outlineLevel="0" collapsed="false">
      <c r="E659" s="1" t="n">
        <f aca="false">$E$13-($F$13-F659)*7</f>
        <v>41692</v>
      </c>
      <c r="F659" s="12" t="n">
        <v>586</v>
      </c>
      <c r="G659" s="16" t="n">
        <v>2</v>
      </c>
      <c r="H659" s="17" t="n">
        <v>7</v>
      </c>
      <c r="I659" s="18" t="n">
        <v>12</v>
      </c>
      <c r="J659" s="19" t="n">
        <v>15</v>
      </c>
      <c r="K659" s="20" t="n">
        <v>21</v>
      </c>
      <c r="L659" s="21" t="n">
        <v>34</v>
      </c>
      <c r="M659" s="22" t="n">
        <v>5</v>
      </c>
      <c r="N659" s="15" t="n">
        <f aca="false">SUMPRODUCT(COUNTIF(G659:L659,번호조회!$B$4:$B$9))</f>
        <v>0</v>
      </c>
    </row>
    <row r="660" customFormat="false" ht="16.5" hidden="false" customHeight="true" outlineLevel="0" collapsed="false">
      <c r="E660" s="1" t="n">
        <f aca="false">$E$13-($F$13-F660)*7</f>
        <v>41685</v>
      </c>
      <c r="F660" s="12" t="n">
        <v>585</v>
      </c>
      <c r="G660" s="16" t="n">
        <v>6</v>
      </c>
      <c r="H660" s="17" t="n">
        <v>7</v>
      </c>
      <c r="I660" s="18" t="n">
        <v>10</v>
      </c>
      <c r="J660" s="19" t="n">
        <v>16</v>
      </c>
      <c r="K660" s="20" t="n">
        <v>38</v>
      </c>
      <c r="L660" s="21" t="n">
        <v>41</v>
      </c>
      <c r="M660" s="22" t="n">
        <v>4</v>
      </c>
      <c r="N660" s="15" t="n">
        <f aca="false">SUMPRODUCT(COUNTIF(G660:L660,번호조회!$B$4:$B$9))</f>
        <v>0</v>
      </c>
    </row>
    <row r="661" customFormat="false" ht="16.5" hidden="false" customHeight="true" outlineLevel="0" collapsed="false">
      <c r="E661" s="1" t="n">
        <f aca="false">$E$13-($F$13-F661)*7</f>
        <v>41678</v>
      </c>
      <c r="F661" s="12" t="n">
        <v>584</v>
      </c>
      <c r="G661" s="16" t="n">
        <v>7</v>
      </c>
      <c r="H661" s="17" t="n">
        <v>18</v>
      </c>
      <c r="I661" s="18" t="n">
        <v>30</v>
      </c>
      <c r="J661" s="19" t="n">
        <v>39</v>
      </c>
      <c r="K661" s="20" t="n">
        <v>40</v>
      </c>
      <c r="L661" s="21" t="n">
        <v>41</v>
      </c>
      <c r="M661" s="22" t="n">
        <v>36</v>
      </c>
      <c r="N661" s="15" t="n">
        <f aca="false">SUMPRODUCT(COUNTIF(G661:L661,번호조회!$B$4:$B$9))</f>
        <v>0</v>
      </c>
    </row>
    <row r="662" customFormat="false" ht="16.5" hidden="false" customHeight="true" outlineLevel="0" collapsed="false">
      <c r="E662" s="1" t="n">
        <f aca="false">$E$13-($F$13-F662)*7</f>
        <v>41671</v>
      </c>
      <c r="F662" s="12" t="n">
        <v>583</v>
      </c>
      <c r="G662" s="16" t="n">
        <v>8</v>
      </c>
      <c r="H662" s="17" t="n">
        <v>17</v>
      </c>
      <c r="I662" s="18" t="n">
        <v>27</v>
      </c>
      <c r="J662" s="19" t="n">
        <v>33</v>
      </c>
      <c r="K662" s="20" t="n">
        <v>40</v>
      </c>
      <c r="L662" s="21" t="n">
        <v>44</v>
      </c>
      <c r="M662" s="22" t="n">
        <v>24</v>
      </c>
      <c r="N662" s="15" t="n">
        <f aca="false">SUMPRODUCT(COUNTIF(G662:L662,번호조회!$B$4:$B$9))</f>
        <v>0</v>
      </c>
    </row>
    <row r="663" customFormat="false" ht="16.5" hidden="false" customHeight="true" outlineLevel="0" collapsed="false">
      <c r="E663" s="1" t="n">
        <f aca="false">$E$13-($F$13-F663)*7</f>
        <v>41664</v>
      </c>
      <c r="F663" s="12" t="n">
        <v>582</v>
      </c>
      <c r="G663" s="16" t="n">
        <v>2</v>
      </c>
      <c r="H663" s="17" t="n">
        <v>12</v>
      </c>
      <c r="I663" s="18" t="n">
        <v>14</v>
      </c>
      <c r="J663" s="19" t="n">
        <v>33</v>
      </c>
      <c r="K663" s="20" t="n">
        <v>40</v>
      </c>
      <c r="L663" s="21" t="n">
        <v>41</v>
      </c>
      <c r="M663" s="22" t="n">
        <v>25</v>
      </c>
      <c r="N663" s="15" t="n">
        <f aca="false">SUMPRODUCT(COUNTIF(G663:L663,번호조회!$B$4:$B$9))</f>
        <v>0</v>
      </c>
    </row>
    <row r="664" customFormat="false" ht="16.5" hidden="false" customHeight="true" outlineLevel="0" collapsed="false">
      <c r="E664" s="1" t="n">
        <f aca="false">$E$13-($F$13-F664)*7</f>
        <v>41657</v>
      </c>
      <c r="F664" s="12" t="n">
        <v>581</v>
      </c>
      <c r="G664" s="16" t="n">
        <v>3</v>
      </c>
      <c r="H664" s="17" t="n">
        <v>5</v>
      </c>
      <c r="I664" s="18" t="n">
        <v>14</v>
      </c>
      <c r="J664" s="19" t="n">
        <v>20</v>
      </c>
      <c r="K664" s="20" t="n">
        <v>42</v>
      </c>
      <c r="L664" s="21" t="n">
        <v>44</v>
      </c>
      <c r="M664" s="22" t="n">
        <v>33</v>
      </c>
      <c r="N664" s="15" t="n">
        <f aca="false">SUMPRODUCT(COUNTIF(G664:L664,번호조회!$B$4:$B$9))</f>
        <v>0</v>
      </c>
    </row>
    <row r="665" customFormat="false" ht="16.5" hidden="false" customHeight="true" outlineLevel="0" collapsed="false">
      <c r="E665" s="1" t="n">
        <f aca="false">$E$13-($F$13-F665)*7</f>
        <v>41650</v>
      </c>
      <c r="F665" s="12" t="n">
        <v>580</v>
      </c>
      <c r="G665" s="16" t="n">
        <v>5</v>
      </c>
      <c r="H665" s="17" t="n">
        <v>7</v>
      </c>
      <c r="I665" s="18" t="n">
        <v>9</v>
      </c>
      <c r="J665" s="19" t="n">
        <v>11</v>
      </c>
      <c r="K665" s="20" t="n">
        <v>32</v>
      </c>
      <c r="L665" s="21" t="n">
        <v>35</v>
      </c>
      <c r="M665" s="22" t="n">
        <v>33</v>
      </c>
      <c r="N665" s="15" t="n">
        <f aca="false">SUMPRODUCT(COUNTIF(G665:L665,번호조회!$B$4:$B$9))</f>
        <v>0</v>
      </c>
    </row>
    <row r="666" customFormat="false" ht="16.5" hidden="false" customHeight="true" outlineLevel="0" collapsed="false">
      <c r="E666" s="1" t="n">
        <f aca="false">$E$13-($F$13-F666)*7</f>
        <v>41643</v>
      </c>
      <c r="F666" s="12" t="n">
        <v>579</v>
      </c>
      <c r="G666" s="16" t="n">
        <v>5</v>
      </c>
      <c r="H666" s="17" t="n">
        <v>7</v>
      </c>
      <c r="I666" s="18" t="n">
        <v>20</v>
      </c>
      <c r="J666" s="19" t="n">
        <v>22</v>
      </c>
      <c r="K666" s="20" t="n">
        <v>37</v>
      </c>
      <c r="L666" s="21" t="n">
        <v>42</v>
      </c>
      <c r="M666" s="22" t="n">
        <v>39</v>
      </c>
      <c r="N666" s="15" t="n">
        <f aca="false">SUMPRODUCT(COUNTIF(G666:L666,번호조회!$B$4:$B$9))</f>
        <v>0</v>
      </c>
    </row>
    <row r="667" customFormat="false" ht="16.5" hidden="false" customHeight="true" outlineLevel="0" collapsed="false">
      <c r="E667" s="1" t="n">
        <f aca="false">$E$13-($F$13-F667)*7</f>
        <v>41636</v>
      </c>
      <c r="F667" s="12" t="n">
        <v>578</v>
      </c>
      <c r="G667" s="16" t="n">
        <v>5</v>
      </c>
      <c r="H667" s="17" t="n">
        <v>12</v>
      </c>
      <c r="I667" s="18" t="n">
        <v>14</v>
      </c>
      <c r="J667" s="19" t="n">
        <v>32</v>
      </c>
      <c r="K667" s="20" t="n">
        <v>34</v>
      </c>
      <c r="L667" s="21" t="n">
        <v>42</v>
      </c>
      <c r="M667" s="22" t="n">
        <v>16</v>
      </c>
      <c r="N667" s="15" t="n">
        <f aca="false">SUMPRODUCT(COUNTIF(G667:L667,번호조회!$B$4:$B$9))</f>
        <v>0</v>
      </c>
    </row>
    <row r="668" customFormat="false" ht="16.5" hidden="false" customHeight="true" outlineLevel="0" collapsed="false">
      <c r="E668" s="1" t="n">
        <f aca="false">$E$13-($F$13-F668)*7</f>
        <v>41629</v>
      </c>
      <c r="F668" s="12" t="n">
        <v>577</v>
      </c>
      <c r="G668" s="16" t="n">
        <v>16</v>
      </c>
      <c r="H668" s="17" t="n">
        <v>17</v>
      </c>
      <c r="I668" s="18" t="n">
        <v>22</v>
      </c>
      <c r="J668" s="19" t="n">
        <v>31</v>
      </c>
      <c r="K668" s="20" t="n">
        <v>34</v>
      </c>
      <c r="L668" s="21" t="n">
        <v>37</v>
      </c>
      <c r="M668" s="22" t="n">
        <v>33</v>
      </c>
      <c r="N668" s="15" t="n">
        <f aca="false">SUMPRODUCT(COUNTIF(G668:L668,번호조회!$B$4:$B$9))</f>
        <v>0</v>
      </c>
    </row>
    <row r="669" customFormat="false" ht="16.5" hidden="false" customHeight="true" outlineLevel="0" collapsed="false">
      <c r="E669" s="1" t="n">
        <f aca="false">$E$13-($F$13-F669)*7</f>
        <v>41622</v>
      </c>
      <c r="F669" s="12" t="n">
        <v>576</v>
      </c>
      <c r="G669" s="16" t="n">
        <v>10</v>
      </c>
      <c r="H669" s="17" t="n">
        <v>11</v>
      </c>
      <c r="I669" s="18" t="n">
        <v>15</v>
      </c>
      <c r="J669" s="19" t="n">
        <v>25</v>
      </c>
      <c r="K669" s="20" t="n">
        <v>35</v>
      </c>
      <c r="L669" s="21" t="n">
        <v>41</v>
      </c>
      <c r="M669" s="22" t="n">
        <v>13</v>
      </c>
      <c r="N669" s="15" t="n">
        <f aca="false">SUMPRODUCT(COUNTIF(G669:L669,번호조회!$B$4:$B$9))</f>
        <v>0</v>
      </c>
    </row>
    <row r="670" customFormat="false" ht="16.5" hidden="false" customHeight="true" outlineLevel="0" collapsed="false">
      <c r="E670" s="1" t="n">
        <f aca="false">$E$13-($F$13-F670)*7</f>
        <v>41615</v>
      </c>
      <c r="F670" s="12" t="n">
        <v>575</v>
      </c>
      <c r="G670" s="16" t="n">
        <v>2</v>
      </c>
      <c r="H670" s="17" t="n">
        <v>8</v>
      </c>
      <c r="I670" s="18" t="n">
        <v>20</v>
      </c>
      <c r="J670" s="19" t="n">
        <v>30</v>
      </c>
      <c r="K670" s="20" t="n">
        <v>33</v>
      </c>
      <c r="L670" s="21" t="n">
        <v>34</v>
      </c>
      <c r="M670" s="22" t="n">
        <v>6</v>
      </c>
      <c r="N670" s="15" t="n">
        <f aca="false">SUMPRODUCT(COUNTIF(G670:L670,번호조회!$B$4:$B$9))</f>
        <v>0</v>
      </c>
    </row>
    <row r="671" customFormat="false" ht="16.5" hidden="false" customHeight="true" outlineLevel="0" collapsed="false">
      <c r="E671" s="1" t="n">
        <f aca="false">$E$13-($F$13-F671)*7</f>
        <v>41608</v>
      </c>
      <c r="F671" s="12" t="n">
        <v>574</v>
      </c>
      <c r="G671" s="16" t="n">
        <v>14</v>
      </c>
      <c r="H671" s="17" t="n">
        <v>15</v>
      </c>
      <c r="I671" s="18" t="n">
        <v>16</v>
      </c>
      <c r="J671" s="19" t="n">
        <v>19</v>
      </c>
      <c r="K671" s="20" t="n">
        <v>25</v>
      </c>
      <c r="L671" s="21" t="n">
        <v>43</v>
      </c>
      <c r="M671" s="22" t="n">
        <v>2</v>
      </c>
      <c r="N671" s="15" t="n">
        <f aca="false">SUMPRODUCT(COUNTIF(G671:L671,번호조회!$B$4:$B$9))</f>
        <v>0</v>
      </c>
    </row>
    <row r="672" customFormat="false" ht="16.5" hidden="false" customHeight="true" outlineLevel="0" collapsed="false">
      <c r="E672" s="1" t="n">
        <f aca="false">$E$13-($F$13-F672)*7</f>
        <v>41601</v>
      </c>
      <c r="F672" s="12" t="n">
        <v>573</v>
      </c>
      <c r="G672" s="16" t="n">
        <v>2</v>
      </c>
      <c r="H672" s="17" t="n">
        <v>4</v>
      </c>
      <c r="I672" s="18" t="n">
        <v>20</v>
      </c>
      <c r="J672" s="19" t="n">
        <v>34</v>
      </c>
      <c r="K672" s="20" t="n">
        <v>35</v>
      </c>
      <c r="L672" s="21" t="n">
        <v>43</v>
      </c>
      <c r="M672" s="22" t="n">
        <v>14</v>
      </c>
      <c r="N672" s="15" t="n">
        <f aca="false">SUMPRODUCT(COUNTIF(G672:L672,번호조회!$B$4:$B$9))</f>
        <v>0</v>
      </c>
    </row>
    <row r="673" customFormat="false" ht="16.5" hidden="false" customHeight="true" outlineLevel="0" collapsed="false">
      <c r="E673" s="1" t="n">
        <f aca="false">$E$13-($F$13-F673)*7</f>
        <v>41594</v>
      </c>
      <c r="F673" s="12" t="n">
        <v>572</v>
      </c>
      <c r="G673" s="16" t="n">
        <v>3</v>
      </c>
      <c r="H673" s="17" t="n">
        <v>13</v>
      </c>
      <c r="I673" s="18" t="n">
        <v>18</v>
      </c>
      <c r="J673" s="19" t="n">
        <v>33</v>
      </c>
      <c r="K673" s="20" t="n">
        <v>37</v>
      </c>
      <c r="L673" s="21" t="n">
        <v>45</v>
      </c>
      <c r="M673" s="22" t="n">
        <v>1</v>
      </c>
      <c r="N673" s="15" t="n">
        <f aca="false">SUMPRODUCT(COUNTIF(G673:L673,번호조회!$B$4:$B$9))</f>
        <v>0</v>
      </c>
    </row>
    <row r="674" customFormat="false" ht="16.5" hidden="false" customHeight="true" outlineLevel="0" collapsed="false">
      <c r="E674" s="1" t="n">
        <f aca="false">$E$13-($F$13-F674)*7</f>
        <v>41587</v>
      </c>
      <c r="F674" s="12" t="n">
        <v>571</v>
      </c>
      <c r="G674" s="16" t="n">
        <v>11</v>
      </c>
      <c r="H674" s="17" t="n">
        <v>18</v>
      </c>
      <c r="I674" s="18" t="n">
        <v>21</v>
      </c>
      <c r="J674" s="19" t="n">
        <v>26</v>
      </c>
      <c r="K674" s="20" t="n">
        <v>38</v>
      </c>
      <c r="L674" s="21" t="n">
        <v>43</v>
      </c>
      <c r="M674" s="22" t="n">
        <v>29</v>
      </c>
      <c r="N674" s="15" t="n">
        <f aca="false">SUMPRODUCT(COUNTIF(G674:L674,번호조회!$B$4:$B$9))</f>
        <v>0</v>
      </c>
    </row>
    <row r="675" customFormat="false" ht="16.5" hidden="false" customHeight="true" outlineLevel="0" collapsed="false">
      <c r="E675" s="1" t="n">
        <f aca="false">$E$13-($F$13-F675)*7</f>
        <v>41580</v>
      </c>
      <c r="F675" s="12" t="n">
        <v>570</v>
      </c>
      <c r="G675" s="16" t="n">
        <v>1</v>
      </c>
      <c r="H675" s="17" t="n">
        <v>12</v>
      </c>
      <c r="I675" s="18" t="n">
        <v>26</v>
      </c>
      <c r="J675" s="19" t="n">
        <v>27</v>
      </c>
      <c r="K675" s="20" t="n">
        <v>29</v>
      </c>
      <c r="L675" s="21" t="n">
        <v>33</v>
      </c>
      <c r="M675" s="22" t="n">
        <v>42</v>
      </c>
      <c r="N675" s="15" t="n">
        <f aca="false">SUMPRODUCT(COUNTIF(G675:L675,번호조회!$B$4:$B$9))</f>
        <v>0</v>
      </c>
    </row>
    <row r="676" customFormat="false" ht="16.5" hidden="false" customHeight="true" outlineLevel="0" collapsed="false">
      <c r="E676" s="1" t="n">
        <f aca="false">$E$13-($F$13-F676)*7</f>
        <v>41573</v>
      </c>
      <c r="F676" s="12" t="n">
        <v>569</v>
      </c>
      <c r="G676" s="16" t="n">
        <v>3</v>
      </c>
      <c r="H676" s="17" t="n">
        <v>6</v>
      </c>
      <c r="I676" s="18" t="n">
        <v>13</v>
      </c>
      <c r="J676" s="19" t="n">
        <v>23</v>
      </c>
      <c r="K676" s="20" t="n">
        <v>24</v>
      </c>
      <c r="L676" s="21" t="n">
        <v>35</v>
      </c>
      <c r="M676" s="22" t="n">
        <v>1</v>
      </c>
      <c r="N676" s="15" t="n">
        <f aca="false">SUMPRODUCT(COUNTIF(G676:L676,번호조회!$B$4:$B$9))</f>
        <v>0</v>
      </c>
    </row>
    <row r="677" customFormat="false" ht="16.5" hidden="false" customHeight="true" outlineLevel="0" collapsed="false">
      <c r="E677" s="1" t="n">
        <f aca="false">$E$13-($F$13-F677)*7</f>
        <v>41566</v>
      </c>
      <c r="F677" s="12" t="n">
        <v>568</v>
      </c>
      <c r="G677" s="16" t="n">
        <v>1</v>
      </c>
      <c r="H677" s="17" t="n">
        <v>3</v>
      </c>
      <c r="I677" s="18" t="n">
        <v>17</v>
      </c>
      <c r="J677" s="19" t="n">
        <v>20</v>
      </c>
      <c r="K677" s="20" t="n">
        <v>31</v>
      </c>
      <c r="L677" s="21" t="n">
        <v>44</v>
      </c>
      <c r="M677" s="22" t="n">
        <v>40</v>
      </c>
      <c r="N677" s="15" t="n">
        <f aca="false">SUMPRODUCT(COUNTIF(G677:L677,번호조회!$B$4:$B$9))</f>
        <v>0</v>
      </c>
    </row>
    <row r="678" customFormat="false" ht="16.5" hidden="false" customHeight="true" outlineLevel="0" collapsed="false">
      <c r="E678" s="1" t="n">
        <f aca="false">$E$13-($F$13-F678)*7</f>
        <v>41559</v>
      </c>
      <c r="F678" s="12" t="n">
        <v>567</v>
      </c>
      <c r="G678" s="16" t="n">
        <v>1</v>
      </c>
      <c r="H678" s="17" t="n">
        <v>10</v>
      </c>
      <c r="I678" s="18" t="n">
        <v>15</v>
      </c>
      <c r="J678" s="19" t="n">
        <v>16</v>
      </c>
      <c r="K678" s="20" t="n">
        <v>32</v>
      </c>
      <c r="L678" s="21" t="n">
        <v>41</v>
      </c>
      <c r="M678" s="22" t="n">
        <v>28</v>
      </c>
      <c r="N678" s="15" t="n">
        <f aca="false">SUMPRODUCT(COUNTIF(G678:L678,번호조회!$B$4:$B$9))</f>
        <v>0</v>
      </c>
    </row>
    <row r="679" customFormat="false" ht="16.5" hidden="false" customHeight="true" outlineLevel="0" collapsed="false">
      <c r="E679" s="1" t="n">
        <f aca="false">$E$13-($F$13-F679)*7</f>
        <v>41552</v>
      </c>
      <c r="F679" s="12" t="n">
        <v>566</v>
      </c>
      <c r="G679" s="16" t="n">
        <v>4</v>
      </c>
      <c r="H679" s="17" t="n">
        <v>5</v>
      </c>
      <c r="I679" s="18" t="n">
        <v>6</v>
      </c>
      <c r="J679" s="19" t="n">
        <v>25</v>
      </c>
      <c r="K679" s="20" t="n">
        <v>26</v>
      </c>
      <c r="L679" s="21" t="n">
        <v>43</v>
      </c>
      <c r="M679" s="22" t="n">
        <v>41</v>
      </c>
      <c r="N679" s="15" t="n">
        <f aca="false">SUMPRODUCT(COUNTIF(G679:L679,번호조회!$B$4:$B$9))</f>
        <v>0</v>
      </c>
    </row>
    <row r="680" customFormat="false" ht="16.5" hidden="false" customHeight="true" outlineLevel="0" collapsed="false">
      <c r="E680" s="1" t="n">
        <f aca="false">$E$13-($F$13-F680)*7</f>
        <v>41545</v>
      </c>
      <c r="F680" s="12" t="n">
        <v>565</v>
      </c>
      <c r="G680" s="16" t="n">
        <v>4</v>
      </c>
      <c r="H680" s="17" t="n">
        <v>10</v>
      </c>
      <c r="I680" s="18" t="n">
        <v>18</v>
      </c>
      <c r="J680" s="19" t="n">
        <v>27</v>
      </c>
      <c r="K680" s="20" t="n">
        <v>40</v>
      </c>
      <c r="L680" s="21" t="n">
        <v>45</v>
      </c>
      <c r="M680" s="22" t="n">
        <v>38</v>
      </c>
      <c r="N680" s="15" t="n">
        <f aca="false">SUMPRODUCT(COUNTIF(G680:L680,번호조회!$B$4:$B$9))</f>
        <v>0</v>
      </c>
    </row>
    <row r="681" customFormat="false" ht="16.5" hidden="false" customHeight="true" outlineLevel="0" collapsed="false">
      <c r="E681" s="1" t="n">
        <f aca="false">$E$13-($F$13-F681)*7</f>
        <v>41538</v>
      </c>
      <c r="F681" s="12" t="n">
        <v>564</v>
      </c>
      <c r="G681" s="16" t="n">
        <v>14</v>
      </c>
      <c r="H681" s="17" t="n">
        <v>19</v>
      </c>
      <c r="I681" s="18" t="n">
        <v>25</v>
      </c>
      <c r="J681" s="19" t="n">
        <v>26</v>
      </c>
      <c r="K681" s="20" t="n">
        <v>27</v>
      </c>
      <c r="L681" s="21" t="n">
        <v>34</v>
      </c>
      <c r="M681" s="22" t="n">
        <v>2</v>
      </c>
      <c r="N681" s="15" t="n">
        <f aca="false">SUMPRODUCT(COUNTIF(G681:L681,번호조회!$B$4:$B$9))</f>
        <v>0</v>
      </c>
    </row>
    <row r="682" customFormat="false" ht="16.5" hidden="false" customHeight="true" outlineLevel="0" collapsed="false">
      <c r="E682" s="1" t="n">
        <f aca="false">$E$13-($F$13-F682)*7</f>
        <v>41531</v>
      </c>
      <c r="F682" s="12" t="n">
        <v>563</v>
      </c>
      <c r="G682" s="16" t="n">
        <v>5</v>
      </c>
      <c r="H682" s="17" t="n">
        <v>10</v>
      </c>
      <c r="I682" s="18" t="n">
        <v>16</v>
      </c>
      <c r="J682" s="19" t="n">
        <v>17</v>
      </c>
      <c r="K682" s="20" t="n">
        <v>31</v>
      </c>
      <c r="L682" s="21" t="n">
        <v>32</v>
      </c>
      <c r="M682" s="22" t="n">
        <v>21</v>
      </c>
      <c r="N682" s="15" t="n">
        <f aca="false">SUMPRODUCT(COUNTIF(G682:L682,번호조회!$B$4:$B$9))</f>
        <v>0</v>
      </c>
    </row>
    <row r="683" customFormat="false" ht="16.5" hidden="false" customHeight="true" outlineLevel="0" collapsed="false">
      <c r="E683" s="1" t="n">
        <f aca="false">$E$13-($F$13-F683)*7</f>
        <v>41524</v>
      </c>
      <c r="F683" s="12" t="n">
        <v>562</v>
      </c>
      <c r="G683" s="16" t="n">
        <v>4</v>
      </c>
      <c r="H683" s="17" t="n">
        <v>11</v>
      </c>
      <c r="I683" s="18" t="n">
        <v>13</v>
      </c>
      <c r="J683" s="19" t="n">
        <v>17</v>
      </c>
      <c r="K683" s="20" t="n">
        <v>20</v>
      </c>
      <c r="L683" s="21" t="n">
        <v>31</v>
      </c>
      <c r="M683" s="22" t="n">
        <v>33</v>
      </c>
      <c r="N683" s="15" t="n">
        <f aca="false">SUMPRODUCT(COUNTIF(G683:L683,번호조회!$B$4:$B$9))</f>
        <v>0</v>
      </c>
    </row>
    <row r="684" customFormat="false" ht="16.5" hidden="false" customHeight="true" outlineLevel="0" collapsed="false">
      <c r="E684" s="1" t="n">
        <f aca="false">$E$13-($F$13-F684)*7</f>
        <v>41517</v>
      </c>
      <c r="F684" s="12" t="n">
        <v>561</v>
      </c>
      <c r="G684" s="16" t="n">
        <v>5</v>
      </c>
      <c r="H684" s="17" t="n">
        <v>7</v>
      </c>
      <c r="I684" s="18" t="n">
        <v>18</v>
      </c>
      <c r="J684" s="19" t="n">
        <v>37</v>
      </c>
      <c r="K684" s="20" t="n">
        <v>42</v>
      </c>
      <c r="L684" s="21" t="n">
        <v>45</v>
      </c>
      <c r="M684" s="22" t="n">
        <v>20</v>
      </c>
      <c r="N684" s="15" t="n">
        <f aca="false">SUMPRODUCT(COUNTIF(G684:L684,번호조회!$B$4:$B$9))</f>
        <v>0</v>
      </c>
    </row>
    <row r="685" customFormat="false" ht="16.5" hidden="false" customHeight="true" outlineLevel="0" collapsed="false">
      <c r="E685" s="1" t="n">
        <f aca="false">$E$13-($F$13-F685)*7</f>
        <v>41510</v>
      </c>
      <c r="F685" s="12" t="n">
        <v>560</v>
      </c>
      <c r="G685" s="16" t="n">
        <v>1</v>
      </c>
      <c r="H685" s="17" t="n">
        <v>4</v>
      </c>
      <c r="I685" s="18" t="n">
        <v>20</v>
      </c>
      <c r="J685" s="19" t="n">
        <v>23</v>
      </c>
      <c r="K685" s="20" t="n">
        <v>29</v>
      </c>
      <c r="L685" s="21" t="n">
        <v>45</v>
      </c>
      <c r="M685" s="22" t="n">
        <v>28</v>
      </c>
      <c r="N685" s="15" t="n">
        <f aca="false">SUMPRODUCT(COUNTIF(G685:L685,번호조회!$B$4:$B$9))</f>
        <v>0</v>
      </c>
    </row>
    <row r="686" customFormat="false" ht="16.5" hidden="false" customHeight="true" outlineLevel="0" collapsed="false">
      <c r="E686" s="1" t="n">
        <f aca="false">$E$13-($F$13-F686)*7</f>
        <v>41503</v>
      </c>
      <c r="F686" s="12" t="n">
        <v>559</v>
      </c>
      <c r="G686" s="16" t="n">
        <v>11</v>
      </c>
      <c r="H686" s="17" t="n">
        <v>12</v>
      </c>
      <c r="I686" s="18" t="n">
        <v>25</v>
      </c>
      <c r="J686" s="19" t="n">
        <v>32</v>
      </c>
      <c r="K686" s="20" t="n">
        <v>44</v>
      </c>
      <c r="L686" s="21" t="n">
        <v>45</v>
      </c>
      <c r="M686" s="22" t="n">
        <v>23</v>
      </c>
      <c r="N686" s="15" t="n">
        <f aca="false">SUMPRODUCT(COUNTIF(G686:L686,번호조회!$B$4:$B$9))</f>
        <v>0</v>
      </c>
    </row>
    <row r="687" customFormat="false" ht="16.5" hidden="false" customHeight="true" outlineLevel="0" collapsed="false">
      <c r="E687" s="1" t="n">
        <f aca="false">$E$13-($F$13-F687)*7</f>
        <v>41496</v>
      </c>
      <c r="F687" s="12" t="n">
        <v>558</v>
      </c>
      <c r="G687" s="16" t="n">
        <v>12</v>
      </c>
      <c r="H687" s="17" t="n">
        <v>15</v>
      </c>
      <c r="I687" s="18" t="n">
        <v>19</v>
      </c>
      <c r="J687" s="19" t="n">
        <v>26</v>
      </c>
      <c r="K687" s="20" t="n">
        <v>40</v>
      </c>
      <c r="L687" s="21" t="n">
        <v>43</v>
      </c>
      <c r="M687" s="22" t="n">
        <v>29</v>
      </c>
      <c r="N687" s="15" t="n">
        <f aca="false">SUMPRODUCT(COUNTIF(G687:L687,번호조회!$B$4:$B$9))</f>
        <v>0</v>
      </c>
    </row>
    <row r="688" customFormat="false" ht="16.5" hidden="false" customHeight="true" outlineLevel="0" collapsed="false">
      <c r="E688" s="1" t="n">
        <f aca="false">$E$13-($F$13-F688)*7</f>
        <v>41489</v>
      </c>
      <c r="F688" s="12" t="n">
        <v>557</v>
      </c>
      <c r="G688" s="16" t="n">
        <v>4</v>
      </c>
      <c r="H688" s="17" t="n">
        <v>20</v>
      </c>
      <c r="I688" s="18" t="n">
        <v>26</v>
      </c>
      <c r="J688" s="19" t="n">
        <v>28</v>
      </c>
      <c r="K688" s="20" t="n">
        <v>35</v>
      </c>
      <c r="L688" s="21" t="n">
        <v>40</v>
      </c>
      <c r="M688" s="22" t="n">
        <v>31</v>
      </c>
      <c r="N688" s="15" t="n">
        <f aca="false">SUMPRODUCT(COUNTIF(G688:L688,번호조회!$B$4:$B$9))</f>
        <v>0</v>
      </c>
    </row>
    <row r="689" customFormat="false" ht="16.5" hidden="false" customHeight="true" outlineLevel="0" collapsed="false">
      <c r="E689" s="1" t="n">
        <f aca="false">$E$13-($F$13-F689)*7</f>
        <v>41482</v>
      </c>
      <c r="F689" s="12" t="n">
        <v>556</v>
      </c>
      <c r="G689" s="16" t="n">
        <v>12</v>
      </c>
      <c r="H689" s="17" t="n">
        <v>20</v>
      </c>
      <c r="I689" s="18" t="n">
        <v>23</v>
      </c>
      <c r="J689" s="19" t="n">
        <v>28</v>
      </c>
      <c r="K689" s="20" t="n">
        <v>30</v>
      </c>
      <c r="L689" s="21" t="n">
        <v>44</v>
      </c>
      <c r="M689" s="22" t="n">
        <v>43</v>
      </c>
      <c r="N689" s="15" t="n">
        <f aca="false">SUMPRODUCT(COUNTIF(G689:L689,번호조회!$B$4:$B$9))</f>
        <v>0</v>
      </c>
    </row>
    <row r="690" customFormat="false" ht="16.5" hidden="false" customHeight="true" outlineLevel="0" collapsed="false">
      <c r="E690" s="1" t="n">
        <f aca="false">$E$13-($F$13-F690)*7</f>
        <v>41475</v>
      </c>
      <c r="F690" s="12" t="n">
        <v>555</v>
      </c>
      <c r="G690" s="16" t="n">
        <v>11</v>
      </c>
      <c r="H690" s="17" t="n">
        <v>17</v>
      </c>
      <c r="I690" s="18" t="n">
        <v>21</v>
      </c>
      <c r="J690" s="19" t="n">
        <v>24</v>
      </c>
      <c r="K690" s="20" t="n">
        <v>26</v>
      </c>
      <c r="L690" s="21" t="n">
        <v>36</v>
      </c>
      <c r="M690" s="22" t="n">
        <v>12</v>
      </c>
      <c r="N690" s="15" t="n">
        <f aca="false">SUMPRODUCT(COUNTIF(G690:L690,번호조회!$B$4:$B$9))</f>
        <v>0</v>
      </c>
    </row>
    <row r="691" customFormat="false" ht="16.5" hidden="false" customHeight="true" outlineLevel="0" collapsed="false">
      <c r="E691" s="1" t="n">
        <f aca="false">$E$13-($F$13-F691)*7</f>
        <v>41468</v>
      </c>
      <c r="F691" s="12" t="n">
        <v>554</v>
      </c>
      <c r="G691" s="16" t="n">
        <v>13</v>
      </c>
      <c r="H691" s="17" t="n">
        <v>14</v>
      </c>
      <c r="I691" s="18" t="n">
        <v>17</v>
      </c>
      <c r="J691" s="19" t="n">
        <v>32</v>
      </c>
      <c r="K691" s="20" t="n">
        <v>41</v>
      </c>
      <c r="L691" s="21" t="n">
        <v>42</v>
      </c>
      <c r="M691" s="22" t="n">
        <v>6</v>
      </c>
      <c r="N691" s="15" t="n">
        <f aca="false">SUMPRODUCT(COUNTIF(G691:L691,번호조회!$B$4:$B$9))</f>
        <v>0</v>
      </c>
    </row>
    <row r="692" customFormat="false" ht="16.5" hidden="false" customHeight="true" outlineLevel="0" collapsed="false">
      <c r="E692" s="1" t="n">
        <f aca="false">$E$13-($F$13-F692)*7</f>
        <v>41461</v>
      </c>
      <c r="F692" s="12" t="n">
        <v>553</v>
      </c>
      <c r="G692" s="16" t="n">
        <v>2</v>
      </c>
      <c r="H692" s="17" t="n">
        <v>7</v>
      </c>
      <c r="I692" s="18" t="n">
        <v>17</v>
      </c>
      <c r="J692" s="19" t="n">
        <v>28</v>
      </c>
      <c r="K692" s="20" t="n">
        <v>29</v>
      </c>
      <c r="L692" s="21" t="n">
        <v>39</v>
      </c>
      <c r="M692" s="22" t="n">
        <v>37</v>
      </c>
      <c r="N692" s="15" t="n">
        <f aca="false">SUMPRODUCT(COUNTIF(G692:L692,번호조회!$B$4:$B$9))</f>
        <v>0</v>
      </c>
    </row>
    <row r="693" customFormat="false" ht="16.5" hidden="false" customHeight="true" outlineLevel="0" collapsed="false">
      <c r="E693" s="1" t="n">
        <f aca="false">$E$13-($F$13-F693)*7</f>
        <v>41454</v>
      </c>
      <c r="F693" s="12" t="n">
        <v>552</v>
      </c>
      <c r="G693" s="16" t="n">
        <v>1</v>
      </c>
      <c r="H693" s="17" t="n">
        <v>10</v>
      </c>
      <c r="I693" s="18" t="n">
        <v>20</v>
      </c>
      <c r="J693" s="19" t="n">
        <v>32</v>
      </c>
      <c r="K693" s="20" t="n">
        <v>35</v>
      </c>
      <c r="L693" s="21" t="n">
        <v>40</v>
      </c>
      <c r="M693" s="22" t="n">
        <v>43</v>
      </c>
      <c r="N693" s="15" t="n">
        <f aca="false">SUMPRODUCT(COUNTIF(G693:L693,번호조회!$B$4:$B$9))</f>
        <v>0</v>
      </c>
    </row>
    <row r="694" customFormat="false" ht="16.5" hidden="false" customHeight="true" outlineLevel="0" collapsed="false">
      <c r="E694" s="1" t="n">
        <f aca="false">$E$13-($F$13-F694)*7</f>
        <v>41447</v>
      </c>
      <c r="F694" s="12" t="n">
        <v>551</v>
      </c>
      <c r="G694" s="16" t="n">
        <v>3</v>
      </c>
      <c r="H694" s="17" t="n">
        <v>6</v>
      </c>
      <c r="I694" s="18" t="n">
        <v>20</v>
      </c>
      <c r="J694" s="19" t="n">
        <v>24</v>
      </c>
      <c r="K694" s="20" t="n">
        <v>27</v>
      </c>
      <c r="L694" s="21" t="n">
        <v>44</v>
      </c>
      <c r="M694" s="22" t="n">
        <v>25</v>
      </c>
      <c r="N694" s="15" t="n">
        <f aca="false">SUMPRODUCT(COUNTIF(G694:L694,번호조회!$B$4:$B$9))</f>
        <v>0</v>
      </c>
    </row>
    <row r="695" customFormat="false" ht="16.5" hidden="false" customHeight="true" outlineLevel="0" collapsed="false">
      <c r="E695" s="1" t="n">
        <f aca="false">$E$13-($F$13-F695)*7</f>
        <v>41440</v>
      </c>
      <c r="F695" s="12" t="n">
        <v>550</v>
      </c>
      <c r="G695" s="16" t="n">
        <v>1</v>
      </c>
      <c r="H695" s="17" t="n">
        <v>7</v>
      </c>
      <c r="I695" s="18" t="n">
        <v>14</v>
      </c>
      <c r="J695" s="19" t="n">
        <v>20</v>
      </c>
      <c r="K695" s="20" t="n">
        <v>34</v>
      </c>
      <c r="L695" s="21" t="n">
        <v>37</v>
      </c>
      <c r="M695" s="22" t="n">
        <v>41</v>
      </c>
      <c r="N695" s="15" t="n">
        <f aca="false">SUMPRODUCT(COUNTIF(G695:L695,번호조회!$B$4:$B$9))</f>
        <v>0</v>
      </c>
    </row>
    <row r="696" customFormat="false" ht="16.5" hidden="false" customHeight="true" outlineLevel="0" collapsed="false">
      <c r="E696" s="1" t="n">
        <f aca="false">$E$13-($F$13-F696)*7</f>
        <v>41433</v>
      </c>
      <c r="F696" s="12" t="n">
        <v>549</v>
      </c>
      <c r="G696" s="16" t="n">
        <v>29</v>
      </c>
      <c r="H696" s="17" t="n">
        <v>31</v>
      </c>
      <c r="I696" s="18" t="n">
        <v>35</v>
      </c>
      <c r="J696" s="19" t="n">
        <v>38</v>
      </c>
      <c r="K696" s="20" t="n">
        <v>40</v>
      </c>
      <c r="L696" s="21" t="n">
        <v>44</v>
      </c>
      <c r="M696" s="22" t="n">
        <v>17</v>
      </c>
      <c r="N696" s="15" t="n">
        <f aca="false">SUMPRODUCT(COUNTIF(G696:L696,번호조회!$B$4:$B$9))</f>
        <v>0</v>
      </c>
    </row>
    <row r="697" customFormat="false" ht="16.5" hidden="false" customHeight="true" outlineLevel="0" collapsed="false">
      <c r="E697" s="1" t="n">
        <f aca="false">$E$13-($F$13-F697)*7</f>
        <v>41426</v>
      </c>
      <c r="F697" s="12" t="n">
        <v>548</v>
      </c>
      <c r="G697" s="16" t="n">
        <v>1</v>
      </c>
      <c r="H697" s="17" t="n">
        <v>12</v>
      </c>
      <c r="I697" s="18" t="n">
        <v>13</v>
      </c>
      <c r="J697" s="19" t="n">
        <v>21</v>
      </c>
      <c r="K697" s="20" t="n">
        <v>32</v>
      </c>
      <c r="L697" s="21" t="n">
        <v>45</v>
      </c>
      <c r="M697" s="22" t="n">
        <v>14</v>
      </c>
      <c r="N697" s="15" t="n">
        <f aca="false">SUMPRODUCT(COUNTIF(G697:L697,번호조회!$B$4:$B$9))</f>
        <v>0</v>
      </c>
    </row>
    <row r="698" customFormat="false" ht="16.5" hidden="false" customHeight="true" outlineLevel="0" collapsed="false">
      <c r="E698" s="1" t="n">
        <f aca="false">$E$13-($F$13-F698)*7</f>
        <v>41419</v>
      </c>
      <c r="F698" s="12" t="n">
        <v>547</v>
      </c>
      <c r="G698" s="16" t="n">
        <v>6</v>
      </c>
      <c r="H698" s="17" t="n">
        <v>7</v>
      </c>
      <c r="I698" s="18" t="n">
        <v>15</v>
      </c>
      <c r="J698" s="19" t="n">
        <v>22</v>
      </c>
      <c r="K698" s="20" t="n">
        <v>34</v>
      </c>
      <c r="L698" s="21" t="n">
        <v>39</v>
      </c>
      <c r="M698" s="22" t="n">
        <v>28</v>
      </c>
      <c r="N698" s="15" t="n">
        <f aca="false">SUMPRODUCT(COUNTIF(G698:L698,번호조회!$B$4:$B$9))</f>
        <v>0</v>
      </c>
    </row>
    <row r="699" customFormat="false" ht="16.5" hidden="false" customHeight="true" outlineLevel="0" collapsed="false">
      <c r="E699" s="1" t="n">
        <f aca="false">$E$13-($F$13-F699)*7</f>
        <v>41412</v>
      </c>
      <c r="F699" s="12" t="n">
        <v>546</v>
      </c>
      <c r="G699" s="16" t="n">
        <v>8</v>
      </c>
      <c r="H699" s="17" t="n">
        <v>17</v>
      </c>
      <c r="I699" s="18" t="n">
        <v>20</v>
      </c>
      <c r="J699" s="19" t="n">
        <v>27</v>
      </c>
      <c r="K699" s="20" t="n">
        <v>37</v>
      </c>
      <c r="L699" s="21" t="n">
        <v>43</v>
      </c>
      <c r="M699" s="22" t="n">
        <v>6</v>
      </c>
      <c r="N699" s="15" t="n">
        <f aca="false">SUMPRODUCT(COUNTIF(G699:L699,번호조회!$B$4:$B$9))</f>
        <v>0</v>
      </c>
    </row>
    <row r="700" customFormat="false" ht="16.5" hidden="false" customHeight="true" outlineLevel="0" collapsed="false">
      <c r="E700" s="1" t="n">
        <f aca="false">$E$13-($F$13-F700)*7</f>
        <v>41405</v>
      </c>
      <c r="F700" s="12" t="n">
        <v>545</v>
      </c>
      <c r="G700" s="16" t="n">
        <v>4</v>
      </c>
      <c r="H700" s="17" t="n">
        <v>24</v>
      </c>
      <c r="I700" s="18" t="n">
        <v>25</v>
      </c>
      <c r="J700" s="19" t="n">
        <v>27</v>
      </c>
      <c r="K700" s="20" t="n">
        <v>34</v>
      </c>
      <c r="L700" s="21" t="n">
        <v>35</v>
      </c>
      <c r="M700" s="22" t="n">
        <v>2</v>
      </c>
      <c r="N700" s="15" t="n">
        <f aca="false">SUMPRODUCT(COUNTIF(G700:L700,번호조회!$B$4:$B$9))</f>
        <v>0</v>
      </c>
    </row>
    <row r="701" customFormat="false" ht="16.5" hidden="false" customHeight="true" outlineLevel="0" collapsed="false">
      <c r="E701" s="1" t="n">
        <f aca="false">$E$13-($F$13-F701)*7</f>
        <v>41398</v>
      </c>
      <c r="F701" s="12" t="n">
        <v>544</v>
      </c>
      <c r="G701" s="16" t="n">
        <v>5</v>
      </c>
      <c r="H701" s="17" t="n">
        <v>17</v>
      </c>
      <c r="I701" s="18" t="n">
        <v>21</v>
      </c>
      <c r="J701" s="19" t="n">
        <v>25</v>
      </c>
      <c r="K701" s="20" t="n">
        <v>36</v>
      </c>
      <c r="L701" s="21" t="n">
        <v>44</v>
      </c>
      <c r="M701" s="22" t="n">
        <v>10</v>
      </c>
      <c r="N701" s="15" t="n">
        <f aca="false">SUMPRODUCT(COUNTIF(G701:L701,번호조회!$B$4:$B$9))</f>
        <v>0</v>
      </c>
    </row>
    <row r="702" customFormat="false" ht="16.5" hidden="false" customHeight="true" outlineLevel="0" collapsed="false">
      <c r="E702" s="1" t="n">
        <f aca="false">$E$13-($F$13-F702)*7</f>
        <v>41391</v>
      </c>
      <c r="F702" s="12" t="n">
        <v>543</v>
      </c>
      <c r="G702" s="16" t="n">
        <v>13</v>
      </c>
      <c r="H702" s="17" t="n">
        <v>18</v>
      </c>
      <c r="I702" s="18" t="n">
        <v>26</v>
      </c>
      <c r="J702" s="19" t="n">
        <v>31</v>
      </c>
      <c r="K702" s="20" t="n">
        <v>34</v>
      </c>
      <c r="L702" s="21" t="n">
        <v>44</v>
      </c>
      <c r="M702" s="22" t="n">
        <v>12</v>
      </c>
      <c r="N702" s="15" t="n">
        <f aca="false">SUMPRODUCT(COUNTIF(G702:L702,번호조회!$B$4:$B$9))</f>
        <v>0</v>
      </c>
    </row>
    <row r="703" customFormat="false" ht="16.5" hidden="false" customHeight="true" outlineLevel="0" collapsed="false">
      <c r="E703" s="1" t="n">
        <f aca="false">$E$13-($F$13-F703)*7</f>
        <v>41384</v>
      </c>
      <c r="F703" s="12" t="n">
        <v>542</v>
      </c>
      <c r="G703" s="16" t="n">
        <v>5</v>
      </c>
      <c r="H703" s="17" t="n">
        <v>6</v>
      </c>
      <c r="I703" s="18" t="n">
        <v>19</v>
      </c>
      <c r="J703" s="19" t="n">
        <v>26</v>
      </c>
      <c r="K703" s="20" t="n">
        <v>41</v>
      </c>
      <c r="L703" s="21" t="n">
        <v>45</v>
      </c>
      <c r="M703" s="22" t="n">
        <v>34</v>
      </c>
      <c r="N703" s="15" t="n">
        <f aca="false">SUMPRODUCT(COUNTIF(G703:L703,번호조회!$B$4:$B$9))</f>
        <v>0</v>
      </c>
    </row>
    <row r="704" customFormat="false" ht="16.5" hidden="false" customHeight="true" outlineLevel="0" collapsed="false">
      <c r="E704" s="1" t="n">
        <f aca="false">$E$13-($F$13-F704)*7</f>
        <v>41377</v>
      </c>
      <c r="F704" s="12" t="n">
        <v>541</v>
      </c>
      <c r="G704" s="16" t="n">
        <v>8</v>
      </c>
      <c r="H704" s="17" t="n">
        <v>13</v>
      </c>
      <c r="I704" s="18" t="n">
        <v>26</v>
      </c>
      <c r="J704" s="19" t="n">
        <v>28</v>
      </c>
      <c r="K704" s="20" t="n">
        <v>32</v>
      </c>
      <c r="L704" s="21" t="n">
        <v>34</v>
      </c>
      <c r="M704" s="22" t="n">
        <v>43</v>
      </c>
      <c r="N704" s="15" t="n">
        <f aca="false">SUMPRODUCT(COUNTIF(G704:L704,번호조회!$B$4:$B$9))</f>
        <v>0</v>
      </c>
    </row>
    <row r="705" customFormat="false" ht="16.5" hidden="false" customHeight="true" outlineLevel="0" collapsed="false">
      <c r="E705" s="1" t="n">
        <f aca="false">$E$13-($F$13-F705)*7</f>
        <v>41370</v>
      </c>
      <c r="F705" s="12" t="n">
        <v>540</v>
      </c>
      <c r="G705" s="16" t="n">
        <v>3</v>
      </c>
      <c r="H705" s="17" t="n">
        <v>12</v>
      </c>
      <c r="I705" s="18" t="n">
        <v>13</v>
      </c>
      <c r="J705" s="19" t="n">
        <v>15</v>
      </c>
      <c r="K705" s="20" t="n">
        <v>34</v>
      </c>
      <c r="L705" s="21" t="n">
        <v>36</v>
      </c>
      <c r="M705" s="22" t="n">
        <v>14</v>
      </c>
      <c r="N705" s="15" t="n">
        <f aca="false">SUMPRODUCT(COUNTIF(G705:L705,번호조회!$B$4:$B$9))</f>
        <v>0</v>
      </c>
    </row>
    <row r="706" customFormat="false" ht="16.5" hidden="false" customHeight="true" outlineLevel="0" collapsed="false">
      <c r="E706" s="1" t="n">
        <f aca="false">$E$13-($F$13-F706)*7</f>
        <v>41363</v>
      </c>
      <c r="F706" s="12" t="n">
        <v>539</v>
      </c>
      <c r="G706" s="16" t="n">
        <v>3</v>
      </c>
      <c r="H706" s="17" t="n">
        <v>19</v>
      </c>
      <c r="I706" s="18" t="n">
        <v>22</v>
      </c>
      <c r="J706" s="19" t="n">
        <v>31</v>
      </c>
      <c r="K706" s="20" t="n">
        <v>42</v>
      </c>
      <c r="L706" s="21" t="n">
        <v>43</v>
      </c>
      <c r="M706" s="22" t="n">
        <v>26</v>
      </c>
      <c r="N706" s="15" t="n">
        <f aca="false">SUMPRODUCT(COUNTIF(G706:L706,번호조회!$B$4:$B$9))</f>
        <v>0</v>
      </c>
    </row>
    <row r="707" customFormat="false" ht="16.5" hidden="false" customHeight="true" outlineLevel="0" collapsed="false">
      <c r="E707" s="1" t="n">
        <f aca="false">$E$13-($F$13-F707)*7</f>
        <v>41356</v>
      </c>
      <c r="F707" s="12" t="n">
        <v>538</v>
      </c>
      <c r="G707" s="16" t="n">
        <v>6</v>
      </c>
      <c r="H707" s="17" t="n">
        <v>10</v>
      </c>
      <c r="I707" s="18" t="n">
        <v>18</v>
      </c>
      <c r="J707" s="19" t="n">
        <v>31</v>
      </c>
      <c r="K707" s="20" t="n">
        <v>32</v>
      </c>
      <c r="L707" s="21" t="n">
        <v>34</v>
      </c>
      <c r="M707" s="22" t="n">
        <v>11</v>
      </c>
      <c r="N707" s="15" t="n">
        <f aca="false">SUMPRODUCT(COUNTIF(G707:L707,번호조회!$B$4:$B$9))</f>
        <v>0</v>
      </c>
    </row>
    <row r="708" customFormat="false" ht="16.5" hidden="false" customHeight="true" outlineLevel="0" collapsed="false">
      <c r="E708" s="1" t="n">
        <f aca="false">$E$13-($F$13-F708)*7</f>
        <v>41349</v>
      </c>
      <c r="F708" s="12" t="n">
        <v>537</v>
      </c>
      <c r="G708" s="16" t="n">
        <v>12</v>
      </c>
      <c r="H708" s="17" t="n">
        <v>23</v>
      </c>
      <c r="I708" s="18" t="n">
        <v>26</v>
      </c>
      <c r="J708" s="19" t="n">
        <v>30</v>
      </c>
      <c r="K708" s="20" t="n">
        <v>36</v>
      </c>
      <c r="L708" s="21" t="n">
        <v>43</v>
      </c>
      <c r="M708" s="22" t="n">
        <v>11</v>
      </c>
      <c r="N708" s="15" t="n">
        <f aca="false">SUMPRODUCT(COUNTIF(G708:L708,번호조회!$B$4:$B$9))</f>
        <v>0</v>
      </c>
    </row>
    <row r="709" customFormat="false" ht="16.5" hidden="false" customHeight="true" outlineLevel="0" collapsed="false">
      <c r="E709" s="1" t="n">
        <f aca="false">$E$13-($F$13-F709)*7</f>
        <v>41342</v>
      </c>
      <c r="F709" s="12" t="n">
        <v>536</v>
      </c>
      <c r="G709" s="16" t="n">
        <v>7</v>
      </c>
      <c r="H709" s="17" t="n">
        <v>8</v>
      </c>
      <c r="I709" s="18" t="n">
        <v>18</v>
      </c>
      <c r="J709" s="19" t="n">
        <v>32</v>
      </c>
      <c r="K709" s="20" t="n">
        <v>37</v>
      </c>
      <c r="L709" s="21" t="n">
        <v>43</v>
      </c>
      <c r="M709" s="22" t="n">
        <v>12</v>
      </c>
      <c r="N709" s="15" t="n">
        <f aca="false">SUMPRODUCT(COUNTIF(G709:L709,번호조회!$B$4:$B$9))</f>
        <v>0</v>
      </c>
    </row>
    <row r="710" customFormat="false" ht="16.5" hidden="false" customHeight="true" outlineLevel="0" collapsed="false">
      <c r="E710" s="1" t="n">
        <f aca="false">$E$13-($F$13-F710)*7</f>
        <v>41335</v>
      </c>
      <c r="F710" s="12" t="n">
        <v>535</v>
      </c>
      <c r="G710" s="16" t="n">
        <v>11</v>
      </c>
      <c r="H710" s="17" t="n">
        <v>12</v>
      </c>
      <c r="I710" s="18" t="n">
        <v>14</v>
      </c>
      <c r="J710" s="19" t="n">
        <v>15</v>
      </c>
      <c r="K710" s="20" t="n">
        <v>18</v>
      </c>
      <c r="L710" s="21" t="n">
        <v>39</v>
      </c>
      <c r="M710" s="22" t="n">
        <v>34</v>
      </c>
      <c r="N710" s="15" t="n">
        <f aca="false">SUMPRODUCT(COUNTIF(G710:L710,번호조회!$B$4:$B$9))</f>
        <v>0</v>
      </c>
    </row>
    <row r="711" customFormat="false" ht="16.5" hidden="false" customHeight="true" outlineLevel="0" collapsed="false">
      <c r="E711" s="1" t="n">
        <f aca="false">$E$13-($F$13-F711)*7</f>
        <v>41328</v>
      </c>
      <c r="F711" s="12" t="n">
        <v>534</v>
      </c>
      <c r="G711" s="16" t="n">
        <v>10</v>
      </c>
      <c r="H711" s="17" t="n">
        <v>24</v>
      </c>
      <c r="I711" s="18" t="n">
        <v>26</v>
      </c>
      <c r="J711" s="19" t="n">
        <v>29</v>
      </c>
      <c r="K711" s="20" t="n">
        <v>37</v>
      </c>
      <c r="L711" s="21" t="n">
        <v>38</v>
      </c>
      <c r="M711" s="22" t="n">
        <v>32</v>
      </c>
      <c r="N711" s="15" t="n">
        <f aca="false">SUMPRODUCT(COUNTIF(G711:L711,번호조회!$B$4:$B$9))</f>
        <v>0</v>
      </c>
    </row>
    <row r="712" customFormat="false" ht="16.5" hidden="false" customHeight="true" outlineLevel="0" collapsed="false">
      <c r="E712" s="1" t="n">
        <f aca="false">$E$13-($F$13-F712)*7</f>
        <v>41321</v>
      </c>
      <c r="F712" s="12" t="n">
        <v>533</v>
      </c>
      <c r="G712" s="16" t="n">
        <v>9</v>
      </c>
      <c r="H712" s="17" t="n">
        <v>14</v>
      </c>
      <c r="I712" s="18" t="n">
        <v>15</v>
      </c>
      <c r="J712" s="19" t="n">
        <v>17</v>
      </c>
      <c r="K712" s="20" t="n">
        <v>31</v>
      </c>
      <c r="L712" s="21" t="n">
        <v>33</v>
      </c>
      <c r="M712" s="22" t="n">
        <v>23</v>
      </c>
      <c r="N712" s="15" t="n">
        <f aca="false">SUMPRODUCT(COUNTIF(G712:L712,번호조회!$B$4:$B$9))</f>
        <v>0</v>
      </c>
    </row>
    <row r="713" customFormat="false" ht="16.5" hidden="false" customHeight="true" outlineLevel="0" collapsed="false">
      <c r="E713" s="1" t="n">
        <f aca="false">$E$13-($F$13-F713)*7</f>
        <v>41314</v>
      </c>
      <c r="F713" s="12" t="n">
        <v>532</v>
      </c>
      <c r="G713" s="16" t="n">
        <v>16</v>
      </c>
      <c r="H713" s="17" t="n">
        <v>17</v>
      </c>
      <c r="I713" s="18" t="n">
        <v>23</v>
      </c>
      <c r="J713" s="19" t="n">
        <v>24</v>
      </c>
      <c r="K713" s="20" t="n">
        <v>29</v>
      </c>
      <c r="L713" s="21" t="n">
        <v>44</v>
      </c>
      <c r="M713" s="22" t="n">
        <v>3</v>
      </c>
      <c r="N713" s="15" t="n">
        <f aca="false">SUMPRODUCT(COUNTIF(G713:L713,번호조회!$B$4:$B$9))</f>
        <v>0</v>
      </c>
    </row>
    <row r="714" customFormat="false" ht="16.5" hidden="false" customHeight="true" outlineLevel="0" collapsed="false">
      <c r="E714" s="1" t="n">
        <f aca="false">$E$13-($F$13-F714)*7</f>
        <v>41307</v>
      </c>
      <c r="F714" s="12" t="n">
        <v>531</v>
      </c>
      <c r="G714" s="16" t="n">
        <v>1</v>
      </c>
      <c r="H714" s="17" t="n">
        <v>5</v>
      </c>
      <c r="I714" s="18" t="n">
        <v>9</v>
      </c>
      <c r="J714" s="19" t="n">
        <v>21</v>
      </c>
      <c r="K714" s="20" t="n">
        <v>27</v>
      </c>
      <c r="L714" s="21" t="n">
        <v>35</v>
      </c>
      <c r="M714" s="22" t="n">
        <v>45</v>
      </c>
      <c r="N714" s="15" t="n">
        <f aca="false">SUMPRODUCT(COUNTIF(G714:L714,번호조회!$B$4:$B$9))</f>
        <v>0</v>
      </c>
    </row>
    <row r="715" customFormat="false" ht="16.5" hidden="false" customHeight="true" outlineLevel="0" collapsed="false">
      <c r="E715" s="1" t="n">
        <f aca="false">$E$13-($F$13-F715)*7</f>
        <v>41300</v>
      </c>
      <c r="F715" s="12" t="n">
        <v>530</v>
      </c>
      <c r="G715" s="16" t="n">
        <v>16</v>
      </c>
      <c r="H715" s="17" t="n">
        <v>23</v>
      </c>
      <c r="I715" s="18" t="n">
        <v>27</v>
      </c>
      <c r="J715" s="19" t="n">
        <v>29</v>
      </c>
      <c r="K715" s="20" t="n">
        <v>33</v>
      </c>
      <c r="L715" s="21" t="n">
        <v>41</v>
      </c>
      <c r="M715" s="22" t="n">
        <v>22</v>
      </c>
      <c r="N715" s="15" t="n">
        <f aca="false">SUMPRODUCT(COUNTIF(G715:L715,번호조회!$B$4:$B$9))</f>
        <v>0</v>
      </c>
    </row>
    <row r="716" customFormat="false" ht="16.5" hidden="false" customHeight="true" outlineLevel="0" collapsed="false">
      <c r="E716" s="1" t="n">
        <f aca="false">$E$13-($F$13-F716)*7</f>
        <v>41293</v>
      </c>
      <c r="F716" s="12" t="n">
        <v>529</v>
      </c>
      <c r="G716" s="16" t="n">
        <v>18</v>
      </c>
      <c r="H716" s="17" t="n">
        <v>20</v>
      </c>
      <c r="I716" s="18" t="n">
        <v>24</v>
      </c>
      <c r="J716" s="19" t="n">
        <v>27</v>
      </c>
      <c r="K716" s="20" t="n">
        <v>31</v>
      </c>
      <c r="L716" s="21" t="n">
        <v>42</v>
      </c>
      <c r="M716" s="22" t="n">
        <v>39</v>
      </c>
      <c r="N716" s="15" t="n">
        <f aca="false">SUMPRODUCT(COUNTIF(G716:L716,번호조회!$B$4:$B$9))</f>
        <v>0</v>
      </c>
    </row>
    <row r="717" customFormat="false" ht="16.5" hidden="false" customHeight="true" outlineLevel="0" collapsed="false">
      <c r="E717" s="1" t="n">
        <f aca="false">$E$13-($F$13-F717)*7</f>
        <v>41286</v>
      </c>
      <c r="F717" s="12" t="n">
        <v>528</v>
      </c>
      <c r="G717" s="16" t="n">
        <v>5</v>
      </c>
      <c r="H717" s="17" t="n">
        <v>17</v>
      </c>
      <c r="I717" s="18" t="n">
        <v>25</v>
      </c>
      <c r="J717" s="19" t="n">
        <v>31</v>
      </c>
      <c r="K717" s="20" t="n">
        <v>39</v>
      </c>
      <c r="L717" s="21" t="n">
        <v>40</v>
      </c>
      <c r="M717" s="22" t="n">
        <v>10</v>
      </c>
      <c r="N717" s="15" t="n">
        <f aca="false">SUMPRODUCT(COUNTIF(G717:L717,번호조회!$B$4:$B$9))</f>
        <v>0</v>
      </c>
    </row>
    <row r="718" customFormat="false" ht="16.5" hidden="false" customHeight="true" outlineLevel="0" collapsed="false">
      <c r="E718" s="1" t="n">
        <f aca="false">$E$13-($F$13-F718)*7</f>
        <v>41279</v>
      </c>
      <c r="F718" s="12" t="n">
        <v>527</v>
      </c>
      <c r="G718" s="16" t="n">
        <v>1</v>
      </c>
      <c r="H718" s="17" t="n">
        <v>12</v>
      </c>
      <c r="I718" s="18" t="n">
        <v>22</v>
      </c>
      <c r="J718" s="19" t="n">
        <v>32</v>
      </c>
      <c r="K718" s="20" t="n">
        <v>33</v>
      </c>
      <c r="L718" s="21" t="n">
        <v>42</v>
      </c>
      <c r="M718" s="22" t="n">
        <v>38</v>
      </c>
      <c r="N718" s="15" t="n">
        <f aca="false">SUMPRODUCT(COUNTIF(G718:L718,번호조회!$B$4:$B$9))</f>
        <v>0</v>
      </c>
    </row>
    <row r="719" customFormat="false" ht="16.5" hidden="false" customHeight="true" outlineLevel="0" collapsed="false">
      <c r="E719" s="1" t="n">
        <f aca="false">$E$13-($F$13-F719)*7</f>
        <v>41272</v>
      </c>
      <c r="F719" s="12" t="n">
        <v>526</v>
      </c>
      <c r="G719" s="16" t="n">
        <v>7</v>
      </c>
      <c r="H719" s="17" t="n">
        <v>14</v>
      </c>
      <c r="I719" s="18" t="n">
        <v>17</v>
      </c>
      <c r="J719" s="19" t="n">
        <v>20</v>
      </c>
      <c r="K719" s="20" t="n">
        <v>35</v>
      </c>
      <c r="L719" s="21" t="n">
        <v>39</v>
      </c>
      <c r="M719" s="22" t="n">
        <v>31</v>
      </c>
      <c r="N719" s="15" t="n">
        <f aca="false">SUMPRODUCT(COUNTIF(G719:L719,번호조회!$B$4:$B$9))</f>
        <v>0</v>
      </c>
    </row>
    <row r="720" customFormat="false" ht="16.5" hidden="false" customHeight="true" outlineLevel="0" collapsed="false">
      <c r="E720" s="1" t="n">
        <f aca="false">$E$13-($F$13-F720)*7</f>
        <v>41265</v>
      </c>
      <c r="F720" s="12" t="n">
        <v>525</v>
      </c>
      <c r="G720" s="16" t="n">
        <v>11</v>
      </c>
      <c r="H720" s="17" t="n">
        <v>23</v>
      </c>
      <c r="I720" s="18" t="n">
        <v>26</v>
      </c>
      <c r="J720" s="19" t="n">
        <v>29</v>
      </c>
      <c r="K720" s="20" t="n">
        <v>39</v>
      </c>
      <c r="L720" s="21" t="n">
        <v>44</v>
      </c>
      <c r="M720" s="22" t="n">
        <v>22</v>
      </c>
      <c r="N720" s="15" t="n">
        <f aca="false">SUMPRODUCT(COUNTIF(G720:L720,번호조회!$B$4:$B$9))</f>
        <v>0</v>
      </c>
    </row>
    <row r="721" customFormat="false" ht="16.5" hidden="false" customHeight="true" outlineLevel="0" collapsed="false">
      <c r="E721" s="1" t="n">
        <f aca="false">$E$13-($F$13-F721)*7</f>
        <v>41258</v>
      </c>
      <c r="F721" s="12" t="n">
        <v>524</v>
      </c>
      <c r="G721" s="16" t="n">
        <v>10</v>
      </c>
      <c r="H721" s="17" t="n">
        <v>11</v>
      </c>
      <c r="I721" s="18" t="n">
        <v>29</v>
      </c>
      <c r="J721" s="19" t="n">
        <v>38</v>
      </c>
      <c r="K721" s="20" t="n">
        <v>41</v>
      </c>
      <c r="L721" s="21" t="n">
        <v>45</v>
      </c>
      <c r="M721" s="22" t="n">
        <v>21</v>
      </c>
      <c r="N721" s="15" t="n">
        <f aca="false">SUMPRODUCT(COUNTIF(G721:L721,번호조회!$B$4:$B$9))</f>
        <v>0</v>
      </c>
    </row>
    <row r="722" customFormat="false" ht="16.5" hidden="false" customHeight="true" outlineLevel="0" collapsed="false">
      <c r="E722" s="1" t="n">
        <f aca="false">$E$13-($F$13-F722)*7</f>
        <v>41251</v>
      </c>
      <c r="F722" s="12" t="n">
        <v>523</v>
      </c>
      <c r="G722" s="16" t="n">
        <v>1</v>
      </c>
      <c r="H722" s="17" t="n">
        <v>4</v>
      </c>
      <c r="I722" s="18" t="n">
        <v>37</v>
      </c>
      <c r="J722" s="19" t="n">
        <v>38</v>
      </c>
      <c r="K722" s="20" t="n">
        <v>40</v>
      </c>
      <c r="L722" s="21" t="n">
        <v>45</v>
      </c>
      <c r="M722" s="22" t="n">
        <v>7</v>
      </c>
      <c r="N722" s="15" t="n">
        <f aca="false">SUMPRODUCT(COUNTIF(G722:L722,번호조회!$B$4:$B$9))</f>
        <v>0</v>
      </c>
    </row>
    <row r="723" customFormat="false" ht="16.5" hidden="false" customHeight="true" outlineLevel="0" collapsed="false">
      <c r="E723" s="1" t="n">
        <f aca="false">$E$13-($F$13-F723)*7</f>
        <v>41244</v>
      </c>
      <c r="F723" s="12" t="n">
        <v>522</v>
      </c>
      <c r="G723" s="16" t="n">
        <v>4</v>
      </c>
      <c r="H723" s="17" t="n">
        <v>5</v>
      </c>
      <c r="I723" s="18" t="n">
        <v>13</v>
      </c>
      <c r="J723" s="19" t="n">
        <v>14</v>
      </c>
      <c r="K723" s="20" t="n">
        <v>37</v>
      </c>
      <c r="L723" s="21" t="n">
        <v>41</v>
      </c>
      <c r="M723" s="22" t="n">
        <v>11</v>
      </c>
      <c r="N723" s="15" t="n">
        <f aca="false">SUMPRODUCT(COUNTIF(G723:L723,번호조회!$B$4:$B$9))</f>
        <v>0</v>
      </c>
    </row>
    <row r="724" customFormat="false" ht="16.5" hidden="false" customHeight="true" outlineLevel="0" collapsed="false">
      <c r="E724" s="1" t="n">
        <f aca="false">$E$13-($F$13-F724)*7</f>
        <v>41237</v>
      </c>
      <c r="F724" s="12" t="n">
        <v>521</v>
      </c>
      <c r="G724" s="16" t="n">
        <v>3</v>
      </c>
      <c r="H724" s="17" t="n">
        <v>7</v>
      </c>
      <c r="I724" s="18" t="n">
        <v>18</v>
      </c>
      <c r="J724" s="19" t="n">
        <v>29</v>
      </c>
      <c r="K724" s="20" t="n">
        <v>32</v>
      </c>
      <c r="L724" s="21" t="n">
        <v>36</v>
      </c>
      <c r="M724" s="22" t="n">
        <v>19</v>
      </c>
      <c r="N724" s="15" t="n">
        <f aca="false">SUMPRODUCT(COUNTIF(G724:L724,번호조회!$B$4:$B$9))</f>
        <v>0</v>
      </c>
    </row>
    <row r="725" customFormat="false" ht="16.5" hidden="false" customHeight="true" outlineLevel="0" collapsed="false">
      <c r="E725" s="1" t="n">
        <f aca="false">$E$13-($F$13-F725)*7</f>
        <v>41230</v>
      </c>
      <c r="F725" s="12" t="n">
        <v>520</v>
      </c>
      <c r="G725" s="16" t="n">
        <v>4</v>
      </c>
      <c r="H725" s="17" t="n">
        <v>22</v>
      </c>
      <c r="I725" s="18" t="n">
        <v>27</v>
      </c>
      <c r="J725" s="19" t="n">
        <v>28</v>
      </c>
      <c r="K725" s="20" t="n">
        <v>38</v>
      </c>
      <c r="L725" s="21" t="n">
        <v>40</v>
      </c>
      <c r="M725" s="22" t="n">
        <v>1</v>
      </c>
      <c r="N725" s="15" t="n">
        <f aca="false">SUMPRODUCT(COUNTIF(G725:L725,번호조회!$B$4:$B$9))</f>
        <v>0</v>
      </c>
    </row>
    <row r="726" customFormat="false" ht="16.5" hidden="false" customHeight="true" outlineLevel="0" collapsed="false">
      <c r="E726" s="1" t="n">
        <f aca="false">$E$13-($F$13-F726)*7</f>
        <v>41223</v>
      </c>
      <c r="F726" s="12" t="n">
        <v>519</v>
      </c>
      <c r="G726" s="16" t="n">
        <v>6</v>
      </c>
      <c r="H726" s="17" t="n">
        <v>8</v>
      </c>
      <c r="I726" s="18" t="n">
        <v>13</v>
      </c>
      <c r="J726" s="19" t="n">
        <v>16</v>
      </c>
      <c r="K726" s="20" t="n">
        <v>30</v>
      </c>
      <c r="L726" s="21" t="n">
        <v>43</v>
      </c>
      <c r="M726" s="22" t="n">
        <v>3</v>
      </c>
      <c r="N726" s="15" t="n">
        <f aca="false">SUMPRODUCT(COUNTIF(G726:L726,번호조회!$B$4:$B$9))</f>
        <v>0</v>
      </c>
    </row>
    <row r="727" customFormat="false" ht="16.5" hidden="false" customHeight="true" outlineLevel="0" collapsed="false">
      <c r="E727" s="1" t="n">
        <f aca="false">$E$13-($F$13-F727)*7</f>
        <v>41216</v>
      </c>
      <c r="F727" s="12" t="n">
        <v>518</v>
      </c>
      <c r="G727" s="16" t="n">
        <v>14</v>
      </c>
      <c r="H727" s="17" t="n">
        <v>23</v>
      </c>
      <c r="I727" s="18" t="n">
        <v>30</v>
      </c>
      <c r="J727" s="19" t="n">
        <v>32</v>
      </c>
      <c r="K727" s="20" t="n">
        <v>34</v>
      </c>
      <c r="L727" s="21" t="n">
        <v>38</v>
      </c>
      <c r="M727" s="22" t="n">
        <v>6</v>
      </c>
      <c r="N727" s="15" t="n">
        <f aca="false">SUMPRODUCT(COUNTIF(G727:L727,번호조회!$B$4:$B$9))</f>
        <v>0</v>
      </c>
    </row>
    <row r="728" customFormat="false" ht="16.5" hidden="false" customHeight="true" outlineLevel="0" collapsed="false">
      <c r="E728" s="1" t="n">
        <f aca="false">$E$13-($F$13-F728)*7</f>
        <v>41209</v>
      </c>
      <c r="F728" s="12" t="n">
        <v>517</v>
      </c>
      <c r="G728" s="16" t="n">
        <v>1</v>
      </c>
      <c r="H728" s="17" t="n">
        <v>9</v>
      </c>
      <c r="I728" s="18" t="n">
        <v>12</v>
      </c>
      <c r="J728" s="19" t="n">
        <v>28</v>
      </c>
      <c r="K728" s="20" t="n">
        <v>36</v>
      </c>
      <c r="L728" s="21" t="n">
        <v>41</v>
      </c>
      <c r="M728" s="22" t="n">
        <v>10</v>
      </c>
      <c r="N728" s="15" t="n">
        <f aca="false">SUMPRODUCT(COUNTIF(G728:L728,번호조회!$B$4:$B$9))</f>
        <v>0</v>
      </c>
    </row>
    <row r="729" customFormat="false" ht="16.5" hidden="false" customHeight="true" outlineLevel="0" collapsed="false">
      <c r="E729" s="1" t="n">
        <f aca="false">$E$13-($F$13-F729)*7</f>
        <v>41202</v>
      </c>
      <c r="F729" s="12" t="n">
        <v>516</v>
      </c>
      <c r="G729" s="16" t="n">
        <v>2</v>
      </c>
      <c r="H729" s="17" t="n">
        <v>8</v>
      </c>
      <c r="I729" s="18" t="n">
        <v>23</v>
      </c>
      <c r="J729" s="19" t="n">
        <v>41</v>
      </c>
      <c r="K729" s="20" t="n">
        <v>43</v>
      </c>
      <c r="L729" s="21" t="n">
        <v>44</v>
      </c>
      <c r="M729" s="22" t="n">
        <v>30</v>
      </c>
      <c r="N729" s="15" t="n">
        <f aca="false">SUMPRODUCT(COUNTIF(G729:L729,번호조회!$B$4:$B$9))</f>
        <v>0</v>
      </c>
    </row>
    <row r="730" customFormat="false" ht="16.5" hidden="false" customHeight="true" outlineLevel="0" collapsed="false">
      <c r="E730" s="1" t="n">
        <f aca="false">$E$13-($F$13-F730)*7</f>
        <v>41195</v>
      </c>
      <c r="F730" s="12" t="n">
        <v>515</v>
      </c>
      <c r="G730" s="16" t="n">
        <v>2</v>
      </c>
      <c r="H730" s="17" t="n">
        <v>11</v>
      </c>
      <c r="I730" s="18" t="n">
        <v>12</v>
      </c>
      <c r="J730" s="19" t="n">
        <v>15</v>
      </c>
      <c r="K730" s="20" t="n">
        <v>23</v>
      </c>
      <c r="L730" s="21" t="n">
        <v>37</v>
      </c>
      <c r="M730" s="22" t="n">
        <v>8</v>
      </c>
      <c r="N730" s="15" t="n">
        <f aca="false">SUMPRODUCT(COUNTIF(G730:L730,번호조회!$B$4:$B$9))</f>
        <v>0</v>
      </c>
    </row>
    <row r="731" customFormat="false" ht="16.5" hidden="false" customHeight="true" outlineLevel="0" collapsed="false">
      <c r="E731" s="1" t="n">
        <f aca="false">$E$13-($F$13-F731)*7</f>
        <v>41188</v>
      </c>
      <c r="F731" s="12" t="n">
        <v>514</v>
      </c>
      <c r="G731" s="16" t="n">
        <v>1</v>
      </c>
      <c r="H731" s="17" t="n">
        <v>15</v>
      </c>
      <c r="I731" s="18" t="n">
        <v>20</v>
      </c>
      <c r="J731" s="19" t="n">
        <v>26</v>
      </c>
      <c r="K731" s="20" t="n">
        <v>35</v>
      </c>
      <c r="L731" s="21" t="n">
        <v>42</v>
      </c>
      <c r="M731" s="22" t="n">
        <v>9</v>
      </c>
      <c r="N731" s="15" t="n">
        <f aca="false">SUMPRODUCT(COUNTIF(G731:L731,번호조회!$B$4:$B$9))</f>
        <v>0</v>
      </c>
    </row>
    <row r="732" customFormat="false" ht="16.5" hidden="false" customHeight="true" outlineLevel="0" collapsed="false">
      <c r="E732" s="1" t="n">
        <f aca="false">$E$13-($F$13-F732)*7</f>
        <v>41181</v>
      </c>
      <c r="F732" s="12" t="n">
        <v>513</v>
      </c>
      <c r="G732" s="16" t="n">
        <v>5</v>
      </c>
      <c r="H732" s="17" t="n">
        <v>8</v>
      </c>
      <c r="I732" s="18" t="n">
        <v>21</v>
      </c>
      <c r="J732" s="19" t="n">
        <v>23</v>
      </c>
      <c r="K732" s="20" t="n">
        <v>27</v>
      </c>
      <c r="L732" s="21" t="n">
        <v>33</v>
      </c>
      <c r="M732" s="22" t="n">
        <v>12</v>
      </c>
      <c r="N732" s="15" t="n">
        <f aca="false">SUMPRODUCT(COUNTIF(G732:L732,번호조회!$B$4:$B$9))</f>
        <v>0</v>
      </c>
    </row>
    <row r="733" customFormat="false" ht="16.5" hidden="false" customHeight="true" outlineLevel="0" collapsed="false">
      <c r="E733" s="1" t="n">
        <f aca="false">$E$13-($F$13-F733)*7</f>
        <v>41174</v>
      </c>
      <c r="F733" s="12" t="n">
        <v>512</v>
      </c>
      <c r="G733" s="16" t="n">
        <v>4</v>
      </c>
      <c r="H733" s="17" t="n">
        <v>5</v>
      </c>
      <c r="I733" s="18" t="n">
        <v>9</v>
      </c>
      <c r="J733" s="19" t="n">
        <v>13</v>
      </c>
      <c r="K733" s="20" t="n">
        <v>26</v>
      </c>
      <c r="L733" s="21" t="n">
        <v>27</v>
      </c>
      <c r="M733" s="22" t="n">
        <v>1</v>
      </c>
      <c r="N733" s="15" t="n">
        <f aca="false">SUMPRODUCT(COUNTIF(G733:L733,번호조회!$B$4:$B$9))</f>
        <v>0</v>
      </c>
    </row>
    <row r="734" customFormat="false" ht="16.5" hidden="false" customHeight="true" outlineLevel="0" collapsed="false">
      <c r="E734" s="1" t="n">
        <f aca="false">$E$13-($F$13-F734)*7</f>
        <v>41167</v>
      </c>
      <c r="F734" s="12" t="n">
        <v>511</v>
      </c>
      <c r="G734" s="16" t="n">
        <v>3</v>
      </c>
      <c r="H734" s="17" t="n">
        <v>7</v>
      </c>
      <c r="I734" s="18" t="n">
        <v>14</v>
      </c>
      <c r="J734" s="19" t="n">
        <v>23</v>
      </c>
      <c r="K734" s="20" t="n">
        <v>26</v>
      </c>
      <c r="L734" s="21" t="n">
        <v>42</v>
      </c>
      <c r="M734" s="22" t="n">
        <v>24</v>
      </c>
      <c r="N734" s="15" t="n">
        <f aca="false">SUMPRODUCT(COUNTIF(G734:L734,번호조회!$B$4:$B$9))</f>
        <v>0</v>
      </c>
    </row>
    <row r="735" customFormat="false" ht="16.5" hidden="false" customHeight="true" outlineLevel="0" collapsed="false">
      <c r="E735" s="1" t="n">
        <f aca="false">$E$13-($F$13-F735)*7</f>
        <v>41160</v>
      </c>
      <c r="F735" s="12" t="n">
        <v>510</v>
      </c>
      <c r="G735" s="16" t="n">
        <v>12</v>
      </c>
      <c r="H735" s="17" t="n">
        <v>29</v>
      </c>
      <c r="I735" s="18" t="n">
        <v>32</v>
      </c>
      <c r="J735" s="19" t="n">
        <v>33</v>
      </c>
      <c r="K735" s="20" t="n">
        <v>39</v>
      </c>
      <c r="L735" s="21" t="n">
        <v>40</v>
      </c>
      <c r="M735" s="22" t="n">
        <v>42</v>
      </c>
      <c r="N735" s="15" t="n">
        <f aca="false">SUMPRODUCT(COUNTIF(G735:L735,번호조회!$B$4:$B$9))</f>
        <v>0</v>
      </c>
    </row>
    <row r="736" customFormat="false" ht="16.5" hidden="false" customHeight="true" outlineLevel="0" collapsed="false">
      <c r="E736" s="1" t="n">
        <f aca="false">$E$13-($F$13-F736)*7</f>
        <v>41153</v>
      </c>
      <c r="F736" s="12" t="n">
        <v>509</v>
      </c>
      <c r="G736" s="16" t="n">
        <v>12</v>
      </c>
      <c r="H736" s="17" t="n">
        <v>25</v>
      </c>
      <c r="I736" s="18" t="n">
        <v>29</v>
      </c>
      <c r="J736" s="19" t="n">
        <v>35</v>
      </c>
      <c r="K736" s="20" t="n">
        <v>42</v>
      </c>
      <c r="L736" s="21" t="n">
        <v>43</v>
      </c>
      <c r="M736" s="22" t="n">
        <v>24</v>
      </c>
      <c r="N736" s="15" t="n">
        <f aca="false">SUMPRODUCT(COUNTIF(G736:L736,번호조회!$B$4:$B$9))</f>
        <v>0</v>
      </c>
    </row>
    <row r="737" customFormat="false" ht="16.5" hidden="false" customHeight="true" outlineLevel="0" collapsed="false">
      <c r="E737" s="1" t="n">
        <f aca="false">$E$13-($F$13-F737)*7</f>
        <v>41146</v>
      </c>
      <c r="F737" s="12" t="n">
        <v>508</v>
      </c>
      <c r="G737" s="16" t="n">
        <v>5</v>
      </c>
      <c r="H737" s="17" t="n">
        <v>27</v>
      </c>
      <c r="I737" s="18" t="n">
        <v>31</v>
      </c>
      <c r="J737" s="19" t="n">
        <v>34</v>
      </c>
      <c r="K737" s="20" t="n">
        <v>35</v>
      </c>
      <c r="L737" s="21" t="n">
        <v>43</v>
      </c>
      <c r="M737" s="22" t="n">
        <v>37</v>
      </c>
      <c r="N737" s="15" t="n">
        <f aca="false">SUMPRODUCT(COUNTIF(G737:L737,번호조회!$B$4:$B$9))</f>
        <v>0</v>
      </c>
    </row>
    <row r="738" customFormat="false" ht="16.5" hidden="false" customHeight="true" outlineLevel="0" collapsed="false">
      <c r="E738" s="1" t="n">
        <f aca="false">$E$13-($F$13-F738)*7</f>
        <v>41139</v>
      </c>
      <c r="F738" s="12" t="n">
        <v>507</v>
      </c>
      <c r="G738" s="16" t="n">
        <v>12</v>
      </c>
      <c r="H738" s="17" t="n">
        <v>13</v>
      </c>
      <c r="I738" s="18" t="n">
        <v>32</v>
      </c>
      <c r="J738" s="19" t="n">
        <v>33</v>
      </c>
      <c r="K738" s="20" t="n">
        <v>40</v>
      </c>
      <c r="L738" s="21" t="n">
        <v>41</v>
      </c>
      <c r="M738" s="22" t="n">
        <v>4</v>
      </c>
      <c r="N738" s="15" t="n">
        <f aca="false">SUMPRODUCT(COUNTIF(G738:L738,번호조회!$B$4:$B$9))</f>
        <v>0</v>
      </c>
    </row>
    <row r="739" customFormat="false" ht="16.5" hidden="false" customHeight="true" outlineLevel="0" collapsed="false">
      <c r="E739" s="1" t="n">
        <f aca="false">$E$13-($F$13-F739)*7</f>
        <v>41132</v>
      </c>
      <c r="F739" s="12" t="n">
        <v>506</v>
      </c>
      <c r="G739" s="16" t="n">
        <v>6</v>
      </c>
      <c r="H739" s="17" t="n">
        <v>9</v>
      </c>
      <c r="I739" s="18" t="n">
        <v>11</v>
      </c>
      <c r="J739" s="19" t="n">
        <v>22</v>
      </c>
      <c r="K739" s="20" t="n">
        <v>24</v>
      </c>
      <c r="L739" s="21" t="n">
        <v>30</v>
      </c>
      <c r="M739" s="22" t="n">
        <v>31</v>
      </c>
      <c r="N739" s="15" t="n">
        <f aca="false">SUMPRODUCT(COUNTIF(G739:L739,번호조회!$B$4:$B$9))</f>
        <v>0</v>
      </c>
    </row>
    <row r="740" customFormat="false" ht="16.5" hidden="false" customHeight="true" outlineLevel="0" collapsed="false">
      <c r="E740" s="1" t="n">
        <f aca="false">$E$13-($F$13-F740)*7</f>
        <v>41125</v>
      </c>
      <c r="F740" s="12" t="n">
        <v>505</v>
      </c>
      <c r="G740" s="16" t="n">
        <v>7</v>
      </c>
      <c r="H740" s="17" t="n">
        <v>20</v>
      </c>
      <c r="I740" s="18" t="n">
        <v>22</v>
      </c>
      <c r="J740" s="19" t="n">
        <v>25</v>
      </c>
      <c r="K740" s="20" t="n">
        <v>38</v>
      </c>
      <c r="L740" s="21" t="n">
        <v>40</v>
      </c>
      <c r="M740" s="22" t="n">
        <v>44</v>
      </c>
      <c r="N740" s="15" t="n">
        <f aca="false">SUMPRODUCT(COUNTIF(G740:L740,번호조회!$B$4:$B$9))</f>
        <v>0</v>
      </c>
    </row>
    <row r="741" customFormat="false" ht="16.5" hidden="false" customHeight="true" outlineLevel="0" collapsed="false">
      <c r="E741" s="1" t="n">
        <f aca="false">$E$13-($F$13-F741)*7</f>
        <v>41118</v>
      </c>
      <c r="F741" s="12" t="n">
        <v>504</v>
      </c>
      <c r="G741" s="16" t="n">
        <v>6</v>
      </c>
      <c r="H741" s="17" t="n">
        <v>14</v>
      </c>
      <c r="I741" s="18" t="n">
        <v>22</v>
      </c>
      <c r="J741" s="19" t="n">
        <v>26</v>
      </c>
      <c r="K741" s="20" t="n">
        <v>43</v>
      </c>
      <c r="L741" s="21" t="n">
        <v>44</v>
      </c>
      <c r="M741" s="22" t="n">
        <v>31</v>
      </c>
      <c r="N741" s="15" t="n">
        <f aca="false">SUMPRODUCT(COUNTIF(G741:L741,번호조회!$B$4:$B$9))</f>
        <v>0</v>
      </c>
    </row>
    <row r="742" customFormat="false" ht="16.5" hidden="false" customHeight="true" outlineLevel="0" collapsed="false">
      <c r="E742" s="1" t="n">
        <f aca="false">$E$13-($F$13-F742)*7</f>
        <v>41111</v>
      </c>
      <c r="F742" s="12" t="n">
        <v>503</v>
      </c>
      <c r="G742" s="16" t="n">
        <v>1</v>
      </c>
      <c r="H742" s="17" t="n">
        <v>5</v>
      </c>
      <c r="I742" s="18" t="n">
        <v>27</v>
      </c>
      <c r="J742" s="19" t="n">
        <v>30</v>
      </c>
      <c r="K742" s="20" t="n">
        <v>34</v>
      </c>
      <c r="L742" s="21" t="n">
        <v>36</v>
      </c>
      <c r="M742" s="22" t="n">
        <v>40</v>
      </c>
      <c r="N742" s="15" t="n">
        <f aca="false">SUMPRODUCT(COUNTIF(G742:L742,번호조회!$B$4:$B$9))</f>
        <v>0</v>
      </c>
    </row>
    <row r="743" customFormat="false" ht="16.5" hidden="false" customHeight="true" outlineLevel="0" collapsed="false">
      <c r="E743" s="1" t="n">
        <f aca="false">$E$13-($F$13-F743)*7</f>
        <v>41104</v>
      </c>
      <c r="F743" s="12" t="n">
        <v>502</v>
      </c>
      <c r="G743" s="16" t="n">
        <v>6</v>
      </c>
      <c r="H743" s="17" t="n">
        <v>22</v>
      </c>
      <c r="I743" s="18" t="n">
        <v>28</v>
      </c>
      <c r="J743" s="19" t="n">
        <v>32</v>
      </c>
      <c r="K743" s="20" t="n">
        <v>34</v>
      </c>
      <c r="L743" s="21" t="n">
        <v>40</v>
      </c>
      <c r="M743" s="22" t="n">
        <v>26</v>
      </c>
      <c r="N743" s="15" t="n">
        <f aca="false">SUMPRODUCT(COUNTIF(G743:L743,번호조회!$B$4:$B$9))</f>
        <v>0</v>
      </c>
    </row>
    <row r="744" customFormat="false" ht="16.5" hidden="false" customHeight="true" outlineLevel="0" collapsed="false">
      <c r="E744" s="1" t="n">
        <f aca="false">$E$13-($F$13-F744)*7</f>
        <v>41097</v>
      </c>
      <c r="F744" s="12" t="n">
        <v>501</v>
      </c>
      <c r="G744" s="16" t="n">
        <v>1</v>
      </c>
      <c r="H744" s="17" t="n">
        <v>4</v>
      </c>
      <c r="I744" s="18" t="n">
        <v>10</v>
      </c>
      <c r="J744" s="19" t="n">
        <v>17</v>
      </c>
      <c r="K744" s="20" t="n">
        <v>31</v>
      </c>
      <c r="L744" s="21" t="n">
        <v>42</v>
      </c>
      <c r="M744" s="22" t="n">
        <v>2</v>
      </c>
      <c r="N744" s="15" t="n">
        <f aca="false">SUMPRODUCT(COUNTIF(G744:L744,번호조회!$B$4:$B$9))</f>
        <v>0</v>
      </c>
    </row>
    <row r="745" customFormat="false" ht="16.5" hidden="false" customHeight="true" outlineLevel="0" collapsed="false">
      <c r="E745" s="1" t="n">
        <f aca="false">$E$13-($F$13-F745)*7</f>
        <v>41090</v>
      </c>
      <c r="F745" s="12" t="n">
        <v>500</v>
      </c>
      <c r="G745" s="16" t="n">
        <v>3</v>
      </c>
      <c r="H745" s="17" t="n">
        <v>4</v>
      </c>
      <c r="I745" s="18" t="n">
        <v>12</v>
      </c>
      <c r="J745" s="19" t="n">
        <v>20</v>
      </c>
      <c r="K745" s="20" t="n">
        <v>24</v>
      </c>
      <c r="L745" s="21" t="n">
        <v>34</v>
      </c>
      <c r="M745" s="22" t="n">
        <v>41</v>
      </c>
      <c r="N745" s="15" t="n">
        <f aca="false">SUMPRODUCT(COUNTIF(G745:L745,번호조회!$B$4:$B$9))</f>
        <v>0</v>
      </c>
    </row>
    <row r="746" customFormat="false" ht="16.5" hidden="false" customHeight="true" outlineLevel="0" collapsed="false">
      <c r="E746" s="1" t="n">
        <f aca="false">$E$13-($F$13-F746)*7</f>
        <v>41083</v>
      </c>
      <c r="F746" s="12" t="n">
        <v>499</v>
      </c>
      <c r="G746" s="16" t="n">
        <v>5</v>
      </c>
      <c r="H746" s="17" t="n">
        <v>20</v>
      </c>
      <c r="I746" s="18" t="n">
        <v>23</v>
      </c>
      <c r="J746" s="19" t="n">
        <v>27</v>
      </c>
      <c r="K746" s="20" t="n">
        <v>35</v>
      </c>
      <c r="L746" s="21" t="n">
        <v>40</v>
      </c>
      <c r="M746" s="22" t="n">
        <v>43</v>
      </c>
      <c r="N746" s="15" t="n">
        <f aca="false">SUMPRODUCT(COUNTIF(G746:L746,번호조회!$B$4:$B$9))</f>
        <v>0</v>
      </c>
    </row>
    <row r="747" customFormat="false" ht="16.5" hidden="false" customHeight="true" outlineLevel="0" collapsed="false">
      <c r="E747" s="1" t="n">
        <f aca="false">$E$13-($F$13-F747)*7</f>
        <v>41076</v>
      </c>
      <c r="F747" s="12" t="n">
        <v>498</v>
      </c>
      <c r="G747" s="16" t="n">
        <v>13</v>
      </c>
      <c r="H747" s="17" t="n">
        <v>14</v>
      </c>
      <c r="I747" s="18" t="n">
        <v>24</v>
      </c>
      <c r="J747" s="19" t="n">
        <v>32</v>
      </c>
      <c r="K747" s="20" t="n">
        <v>39</v>
      </c>
      <c r="L747" s="21" t="n">
        <v>41</v>
      </c>
      <c r="M747" s="22" t="n">
        <v>3</v>
      </c>
      <c r="N747" s="15" t="n">
        <f aca="false">SUMPRODUCT(COUNTIF(G747:L747,번호조회!$B$4:$B$9))</f>
        <v>0</v>
      </c>
    </row>
    <row r="748" customFormat="false" ht="16.5" hidden="false" customHeight="true" outlineLevel="0" collapsed="false">
      <c r="E748" s="1" t="n">
        <f aca="false">$E$13-($F$13-F748)*7</f>
        <v>41069</v>
      </c>
      <c r="F748" s="12" t="n">
        <v>497</v>
      </c>
      <c r="G748" s="16" t="n">
        <v>19</v>
      </c>
      <c r="H748" s="17" t="n">
        <v>20</v>
      </c>
      <c r="I748" s="18" t="n">
        <v>23</v>
      </c>
      <c r="J748" s="19" t="n">
        <v>24</v>
      </c>
      <c r="K748" s="20" t="n">
        <v>43</v>
      </c>
      <c r="L748" s="21" t="n">
        <v>44</v>
      </c>
      <c r="M748" s="22" t="n">
        <v>13</v>
      </c>
      <c r="N748" s="15" t="n">
        <f aca="false">SUMPRODUCT(COUNTIF(G748:L748,번호조회!$B$4:$B$9))</f>
        <v>0</v>
      </c>
    </row>
    <row r="749" customFormat="false" ht="16.5" hidden="false" customHeight="true" outlineLevel="0" collapsed="false">
      <c r="E749" s="1" t="n">
        <f aca="false">$E$13-($F$13-F749)*7</f>
        <v>41062</v>
      </c>
      <c r="F749" s="12" t="n">
        <v>496</v>
      </c>
      <c r="G749" s="16" t="n">
        <v>4</v>
      </c>
      <c r="H749" s="17" t="n">
        <v>13</v>
      </c>
      <c r="I749" s="18" t="n">
        <v>20</v>
      </c>
      <c r="J749" s="19" t="n">
        <v>29</v>
      </c>
      <c r="K749" s="20" t="n">
        <v>36</v>
      </c>
      <c r="L749" s="21" t="n">
        <v>41</v>
      </c>
      <c r="M749" s="22" t="n">
        <v>39</v>
      </c>
      <c r="N749" s="15" t="n">
        <f aca="false">SUMPRODUCT(COUNTIF(G749:L749,번호조회!$B$4:$B$9))</f>
        <v>0</v>
      </c>
    </row>
    <row r="750" customFormat="false" ht="16.5" hidden="false" customHeight="true" outlineLevel="0" collapsed="false">
      <c r="E750" s="1" t="n">
        <f aca="false">$E$13-($F$13-F750)*7</f>
        <v>41055</v>
      </c>
      <c r="F750" s="12" t="n">
        <v>495</v>
      </c>
      <c r="G750" s="16" t="n">
        <v>4</v>
      </c>
      <c r="H750" s="17" t="n">
        <v>13</v>
      </c>
      <c r="I750" s="18" t="n">
        <v>22</v>
      </c>
      <c r="J750" s="19" t="n">
        <v>27</v>
      </c>
      <c r="K750" s="20" t="n">
        <v>34</v>
      </c>
      <c r="L750" s="21" t="n">
        <v>44</v>
      </c>
      <c r="M750" s="22" t="n">
        <v>6</v>
      </c>
      <c r="N750" s="15" t="n">
        <f aca="false">SUMPRODUCT(COUNTIF(G750:L750,번호조회!$B$4:$B$9))</f>
        <v>0</v>
      </c>
    </row>
    <row r="751" customFormat="false" ht="16.5" hidden="false" customHeight="true" outlineLevel="0" collapsed="false">
      <c r="E751" s="1" t="n">
        <f aca="false">$E$13-($F$13-F751)*7</f>
        <v>41048</v>
      </c>
      <c r="F751" s="12" t="n">
        <v>494</v>
      </c>
      <c r="G751" s="16" t="n">
        <v>5</v>
      </c>
      <c r="H751" s="17" t="n">
        <v>7</v>
      </c>
      <c r="I751" s="18" t="n">
        <v>8</v>
      </c>
      <c r="J751" s="19" t="n">
        <v>15</v>
      </c>
      <c r="K751" s="20" t="n">
        <v>30</v>
      </c>
      <c r="L751" s="21" t="n">
        <v>43</v>
      </c>
      <c r="M751" s="22" t="n">
        <v>22</v>
      </c>
      <c r="N751" s="15" t="n">
        <f aca="false">SUMPRODUCT(COUNTIF(G751:L751,번호조회!$B$4:$B$9))</f>
        <v>0</v>
      </c>
    </row>
    <row r="752" customFormat="false" ht="16.5" hidden="false" customHeight="true" outlineLevel="0" collapsed="false">
      <c r="E752" s="1" t="n">
        <f aca="false">$E$13-($F$13-F752)*7</f>
        <v>41041</v>
      </c>
      <c r="F752" s="12" t="n">
        <v>493</v>
      </c>
      <c r="G752" s="16" t="n">
        <v>20</v>
      </c>
      <c r="H752" s="17" t="n">
        <v>22</v>
      </c>
      <c r="I752" s="18" t="n">
        <v>26</v>
      </c>
      <c r="J752" s="19" t="n">
        <v>33</v>
      </c>
      <c r="K752" s="20" t="n">
        <v>36</v>
      </c>
      <c r="L752" s="21" t="n">
        <v>37</v>
      </c>
      <c r="M752" s="22" t="n">
        <v>25</v>
      </c>
      <c r="N752" s="15" t="n">
        <f aca="false">SUMPRODUCT(COUNTIF(G752:L752,번호조회!$B$4:$B$9))</f>
        <v>0</v>
      </c>
    </row>
    <row r="753" customFormat="false" ht="16.5" hidden="false" customHeight="true" outlineLevel="0" collapsed="false">
      <c r="E753" s="1" t="n">
        <f aca="false">$E$13-($F$13-F753)*7</f>
        <v>41034</v>
      </c>
      <c r="F753" s="12" t="n">
        <v>492</v>
      </c>
      <c r="G753" s="16" t="n">
        <v>22</v>
      </c>
      <c r="H753" s="17" t="n">
        <v>27</v>
      </c>
      <c r="I753" s="18" t="n">
        <v>31</v>
      </c>
      <c r="J753" s="19" t="n">
        <v>35</v>
      </c>
      <c r="K753" s="20" t="n">
        <v>37</v>
      </c>
      <c r="L753" s="21" t="n">
        <v>40</v>
      </c>
      <c r="M753" s="22" t="n">
        <v>42</v>
      </c>
      <c r="N753" s="15" t="n">
        <f aca="false">SUMPRODUCT(COUNTIF(G753:L753,번호조회!$B$4:$B$9))</f>
        <v>0</v>
      </c>
    </row>
    <row r="754" customFormat="false" ht="16.5" hidden="false" customHeight="true" outlineLevel="0" collapsed="false">
      <c r="E754" s="1" t="n">
        <f aca="false">$E$13-($F$13-F754)*7</f>
        <v>41027</v>
      </c>
      <c r="F754" s="12" t="n">
        <v>491</v>
      </c>
      <c r="G754" s="16" t="n">
        <v>8</v>
      </c>
      <c r="H754" s="17" t="n">
        <v>17</v>
      </c>
      <c r="I754" s="18" t="n">
        <v>35</v>
      </c>
      <c r="J754" s="19" t="n">
        <v>36</v>
      </c>
      <c r="K754" s="20" t="n">
        <v>39</v>
      </c>
      <c r="L754" s="21" t="n">
        <v>42</v>
      </c>
      <c r="M754" s="22" t="n">
        <v>4</v>
      </c>
      <c r="N754" s="15" t="n">
        <f aca="false">SUMPRODUCT(COUNTIF(G754:L754,번호조회!$B$4:$B$9))</f>
        <v>0</v>
      </c>
    </row>
    <row r="755" customFormat="false" ht="16.5" hidden="false" customHeight="true" outlineLevel="0" collapsed="false">
      <c r="E755" s="1" t="n">
        <f aca="false">$E$13-($F$13-F755)*7</f>
        <v>41020</v>
      </c>
      <c r="F755" s="12" t="n">
        <v>490</v>
      </c>
      <c r="G755" s="16" t="n">
        <v>2</v>
      </c>
      <c r="H755" s="17" t="n">
        <v>7</v>
      </c>
      <c r="I755" s="18" t="n">
        <v>26</v>
      </c>
      <c r="J755" s="19" t="n">
        <v>29</v>
      </c>
      <c r="K755" s="20" t="n">
        <v>40</v>
      </c>
      <c r="L755" s="21" t="n">
        <v>43</v>
      </c>
      <c r="M755" s="22" t="n">
        <v>42</v>
      </c>
      <c r="N755" s="15" t="n">
        <f aca="false">SUMPRODUCT(COUNTIF(G755:L755,번호조회!$B$4:$B$9))</f>
        <v>0</v>
      </c>
    </row>
    <row r="756" customFormat="false" ht="16.5" hidden="false" customHeight="true" outlineLevel="0" collapsed="false">
      <c r="E756" s="1" t="n">
        <f aca="false">$E$13-($F$13-F756)*7</f>
        <v>41013</v>
      </c>
      <c r="F756" s="12" t="n">
        <v>489</v>
      </c>
      <c r="G756" s="16" t="n">
        <v>2</v>
      </c>
      <c r="H756" s="17" t="n">
        <v>4</v>
      </c>
      <c r="I756" s="18" t="n">
        <v>8</v>
      </c>
      <c r="J756" s="19" t="n">
        <v>15</v>
      </c>
      <c r="K756" s="20" t="n">
        <v>20</v>
      </c>
      <c r="L756" s="21" t="n">
        <v>27</v>
      </c>
      <c r="M756" s="22" t="n">
        <v>11</v>
      </c>
      <c r="N756" s="15" t="n">
        <f aca="false">SUMPRODUCT(COUNTIF(G756:L756,번호조회!$B$4:$B$9))</f>
        <v>0</v>
      </c>
    </row>
    <row r="757" customFormat="false" ht="16.5" hidden="false" customHeight="true" outlineLevel="0" collapsed="false">
      <c r="E757" s="1" t="n">
        <f aca="false">$E$13-($F$13-F757)*7</f>
        <v>41006</v>
      </c>
      <c r="F757" s="12" t="n">
        <v>488</v>
      </c>
      <c r="G757" s="16" t="n">
        <v>2</v>
      </c>
      <c r="H757" s="17" t="n">
        <v>8</v>
      </c>
      <c r="I757" s="18" t="n">
        <v>17</v>
      </c>
      <c r="J757" s="19" t="n">
        <v>30</v>
      </c>
      <c r="K757" s="20" t="n">
        <v>31</v>
      </c>
      <c r="L757" s="21" t="n">
        <v>38</v>
      </c>
      <c r="M757" s="22" t="n">
        <v>25</v>
      </c>
      <c r="N757" s="15" t="n">
        <f aca="false">SUMPRODUCT(COUNTIF(G757:L757,번호조회!$B$4:$B$9))</f>
        <v>0</v>
      </c>
    </row>
    <row r="758" customFormat="false" ht="16.5" hidden="false" customHeight="true" outlineLevel="0" collapsed="false">
      <c r="E758" s="1" t="n">
        <f aca="false">$E$13-($F$13-F758)*7</f>
        <v>40999</v>
      </c>
      <c r="F758" s="12" t="n">
        <v>487</v>
      </c>
      <c r="G758" s="16" t="n">
        <v>4</v>
      </c>
      <c r="H758" s="17" t="n">
        <v>8</v>
      </c>
      <c r="I758" s="18" t="n">
        <v>25</v>
      </c>
      <c r="J758" s="19" t="n">
        <v>27</v>
      </c>
      <c r="K758" s="20" t="n">
        <v>37</v>
      </c>
      <c r="L758" s="21" t="n">
        <v>41</v>
      </c>
      <c r="M758" s="22" t="n">
        <v>21</v>
      </c>
      <c r="N758" s="15" t="n">
        <f aca="false">SUMPRODUCT(COUNTIF(G758:L758,번호조회!$B$4:$B$9))</f>
        <v>0</v>
      </c>
    </row>
    <row r="759" customFormat="false" ht="16.5" hidden="false" customHeight="true" outlineLevel="0" collapsed="false">
      <c r="E759" s="1" t="n">
        <f aca="false">$E$13-($F$13-F759)*7</f>
        <v>40992</v>
      </c>
      <c r="F759" s="12" t="n">
        <v>486</v>
      </c>
      <c r="G759" s="16" t="n">
        <v>1</v>
      </c>
      <c r="H759" s="17" t="n">
        <v>2</v>
      </c>
      <c r="I759" s="18" t="n">
        <v>23</v>
      </c>
      <c r="J759" s="19" t="n">
        <v>25</v>
      </c>
      <c r="K759" s="20" t="n">
        <v>38</v>
      </c>
      <c r="L759" s="21" t="n">
        <v>40</v>
      </c>
      <c r="M759" s="22" t="n">
        <v>43</v>
      </c>
      <c r="N759" s="15" t="n">
        <f aca="false">SUMPRODUCT(COUNTIF(G759:L759,번호조회!$B$4:$B$9))</f>
        <v>0</v>
      </c>
    </row>
    <row r="760" customFormat="false" ht="16.5" hidden="false" customHeight="true" outlineLevel="0" collapsed="false">
      <c r="E760" s="1" t="n">
        <f aca="false">$E$13-($F$13-F760)*7</f>
        <v>40985</v>
      </c>
      <c r="F760" s="12" t="n">
        <v>485</v>
      </c>
      <c r="G760" s="16" t="n">
        <v>17</v>
      </c>
      <c r="H760" s="17" t="n">
        <v>22</v>
      </c>
      <c r="I760" s="18" t="n">
        <v>26</v>
      </c>
      <c r="J760" s="19" t="n">
        <v>27</v>
      </c>
      <c r="K760" s="20" t="n">
        <v>36</v>
      </c>
      <c r="L760" s="21" t="n">
        <v>39</v>
      </c>
      <c r="M760" s="22" t="n">
        <v>20</v>
      </c>
      <c r="N760" s="15" t="n">
        <f aca="false">SUMPRODUCT(COUNTIF(G760:L760,번호조회!$B$4:$B$9))</f>
        <v>0</v>
      </c>
    </row>
    <row r="761" customFormat="false" ht="16.5" hidden="false" customHeight="true" outlineLevel="0" collapsed="false">
      <c r="E761" s="1" t="n">
        <f aca="false">$E$13-($F$13-F761)*7</f>
        <v>40978</v>
      </c>
      <c r="F761" s="12" t="n">
        <v>484</v>
      </c>
      <c r="G761" s="16" t="n">
        <v>1</v>
      </c>
      <c r="H761" s="17" t="n">
        <v>3</v>
      </c>
      <c r="I761" s="18" t="n">
        <v>27</v>
      </c>
      <c r="J761" s="19" t="n">
        <v>28</v>
      </c>
      <c r="K761" s="20" t="n">
        <v>32</v>
      </c>
      <c r="L761" s="21" t="n">
        <v>45</v>
      </c>
      <c r="M761" s="22" t="n">
        <v>11</v>
      </c>
      <c r="N761" s="15" t="n">
        <f aca="false">SUMPRODUCT(COUNTIF(G761:L761,번호조회!$B$4:$B$9))</f>
        <v>0</v>
      </c>
    </row>
    <row r="762" customFormat="false" ht="16.5" hidden="false" customHeight="true" outlineLevel="0" collapsed="false">
      <c r="E762" s="1" t="n">
        <f aca="false">$E$13-($F$13-F762)*7</f>
        <v>40971</v>
      </c>
      <c r="F762" s="12" t="n">
        <v>483</v>
      </c>
      <c r="G762" s="16" t="n">
        <v>12</v>
      </c>
      <c r="H762" s="17" t="n">
        <v>15</v>
      </c>
      <c r="I762" s="18" t="n">
        <v>19</v>
      </c>
      <c r="J762" s="19" t="n">
        <v>22</v>
      </c>
      <c r="K762" s="20" t="n">
        <v>28</v>
      </c>
      <c r="L762" s="21" t="n">
        <v>34</v>
      </c>
      <c r="M762" s="22" t="n">
        <v>5</v>
      </c>
      <c r="N762" s="15" t="n">
        <f aca="false">SUMPRODUCT(COUNTIF(G762:L762,번호조회!$B$4:$B$9))</f>
        <v>0</v>
      </c>
    </row>
    <row r="763" customFormat="false" ht="16.5" hidden="false" customHeight="true" outlineLevel="0" collapsed="false">
      <c r="E763" s="1" t="n">
        <f aca="false">$E$13-($F$13-F763)*7</f>
        <v>40964</v>
      </c>
      <c r="F763" s="12" t="n">
        <v>482</v>
      </c>
      <c r="G763" s="16" t="n">
        <v>1</v>
      </c>
      <c r="H763" s="17" t="n">
        <v>10</v>
      </c>
      <c r="I763" s="18" t="n">
        <v>16</v>
      </c>
      <c r="J763" s="19" t="n">
        <v>24</v>
      </c>
      <c r="K763" s="20" t="n">
        <v>25</v>
      </c>
      <c r="L763" s="21" t="n">
        <v>35</v>
      </c>
      <c r="M763" s="22" t="n">
        <v>43</v>
      </c>
      <c r="N763" s="15" t="n">
        <f aca="false">SUMPRODUCT(COUNTIF(G763:L763,번호조회!$B$4:$B$9))</f>
        <v>0</v>
      </c>
    </row>
    <row r="764" customFormat="false" ht="16.5" hidden="false" customHeight="true" outlineLevel="0" collapsed="false">
      <c r="E764" s="1" t="n">
        <f aca="false">$E$13-($F$13-F764)*7</f>
        <v>40957</v>
      </c>
      <c r="F764" s="12" t="n">
        <v>481</v>
      </c>
      <c r="G764" s="16" t="n">
        <v>3</v>
      </c>
      <c r="H764" s="17" t="n">
        <v>4</v>
      </c>
      <c r="I764" s="18" t="n">
        <v>23</v>
      </c>
      <c r="J764" s="19" t="n">
        <v>29</v>
      </c>
      <c r="K764" s="20" t="n">
        <v>40</v>
      </c>
      <c r="L764" s="21" t="n">
        <v>41</v>
      </c>
      <c r="M764" s="22" t="n">
        <v>20</v>
      </c>
      <c r="N764" s="15" t="n">
        <f aca="false">SUMPRODUCT(COUNTIF(G764:L764,번호조회!$B$4:$B$9))</f>
        <v>0</v>
      </c>
    </row>
    <row r="765" customFormat="false" ht="16.5" hidden="false" customHeight="true" outlineLevel="0" collapsed="false">
      <c r="E765" s="1" t="n">
        <f aca="false">$E$13-($F$13-F765)*7</f>
        <v>40950</v>
      </c>
      <c r="F765" s="12" t="n">
        <v>480</v>
      </c>
      <c r="G765" s="16" t="n">
        <v>3</v>
      </c>
      <c r="H765" s="17" t="n">
        <v>5</v>
      </c>
      <c r="I765" s="18" t="n">
        <v>10</v>
      </c>
      <c r="J765" s="19" t="n">
        <v>17</v>
      </c>
      <c r="K765" s="20" t="n">
        <v>30</v>
      </c>
      <c r="L765" s="21" t="n">
        <v>31</v>
      </c>
      <c r="M765" s="22" t="n">
        <v>16</v>
      </c>
      <c r="N765" s="15" t="n">
        <f aca="false">SUMPRODUCT(COUNTIF(G765:L765,번호조회!$B$4:$B$9))</f>
        <v>0</v>
      </c>
    </row>
    <row r="766" customFormat="false" ht="16.5" hidden="false" customHeight="true" outlineLevel="0" collapsed="false">
      <c r="E766" s="1" t="n">
        <f aca="false">$E$13-($F$13-F766)*7</f>
        <v>40943</v>
      </c>
      <c r="F766" s="12" t="n">
        <v>479</v>
      </c>
      <c r="G766" s="16" t="n">
        <v>8</v>
      </c>
      <c r="H766" s="17" t="n">
        <v>23</v>
      </c>
      <c r="I766" s="18" t="n">
        <v>25</v>
      </c>
      <c r="J766" s="19" t="n">
        <v>27</v>
      </c>
      <c r="K766" s="20" t="n">
        <v>35</v>
      </c>
      <c r="L766" s="21" t="n">
        <v>44</v>
      </c>
      <c r="M766" s="22" t="n">
        <v>24</v>
      </c>
      <c r="N766" s="15" t="n">
        <f aca="false">SUMPRODUCT(COUNTIF(G766:L766,번호조회!$B$4:$B$9))</f>
        <v>0</v>
      </c>
    </row>
    <row r="767" customFormat="false" ht="16.5" hidden="false" customHeight="true" outlineLevel="0" collapsed="false">
      <c r="E767" s="1" t="n">
        <f aca="false">$E$13-($F$13-F767)*7</f>
        <v>40936</v>
      </c>
      <c r="F767" s="12" t="n">
        <v>478</v>
      </c>
      <c r="G767" s="16" t="n">
        <v>18</v>
      </c>
      <c r="H767" s="17" t="n">
        <v>29</v>
      </c>
      <c r="I767" s="18" t="n">
        <v>30</v>
      </c>
      <c r="J767" s="19" t="n">
        <v>37</v>
      </c>
      <c r="K767" s="20" t="n">
        <v>39</v>
      </c>
      <c r="L767" s="21" t="n">
        <v>43</v>
      </c>
      <c r="M767" s="22" t="n">
        <v>8</v>
      </c>
      <c r="N767" s="15" t="n">
        <f aca="false">SUMPRODUCT(COUNTIF(G767:L767,번호조회!$B$4:$B$9))</f>
        <v>0</v>
      </c>
    </row>
    <row r="768" customFormat="false" ht="16.5" hidden="false" customHeight="true" outlineLevel="0" collapsed="false">
      <c r="E768" s="1" t="n">
        <f aca="false">$E$13-($F$13-F768)*7</f>
        <v>40929</v>
      </c>
      <c r="F768" s="12" t="n">
        <v>477</v>
      </c>
      <c r="G768" s="16" t="n">
        <v>14</v>
      </c>
      <c r="H768" s="17" t="n">
        <v>25</v>
      </c>
      <c r="I768" s="18" t="n">
        <v>29</v>
      </c>
      <c r="J768" s="19" t="n">
        <v>32</v>
      </c>
      <c r="K768" s="20" t="n">
        <v>33</v>
      </c>
      <c r="L768" s="21" t="n">
        <v>45</v>
      </c>
      <c r="M768" s="22" t="n">
        <v>37</v>
      </c>
      <c r="N768" s="15" t="n">
        <f aca="false">SUMPRODUCT(COUNTIF(G768:L768,번호조회!$B$4:$B$9))</f>
        <v>0</v>
      </c>
    </row>
    <row r="769" customFormat="false" ht="16.5" hidden="false" customHeight="true" outlineLevel="0" collapsed="false">
      <c r="E769" s="1" t="n">
        <f aca="false">$E$13-($F$13-F769)*7</f>
        <v>40922</v>
      </c>
      <c r="F769" s="12" t="n">
        <v>476</v>
      </c>
      <c r="G769" s="16" t="n">
        <v>9</v>
      </c>
      <c r="H769" s="17" t="n">
        <v>12</v>
      </c>
      <c r="I769" s="18" t="n">
        <v>13</v>
      </c>
      <c r="J769" s="19" t="n">
        <v>15</v>
      </c>
      <c r="K769" s="20" t="n">
        <v>37</v>
      </c>
      <c r="L769" s="21" t="n">
        <v>38</v>
      </c>
      <c r="M769" s="22" t="n">
        <v>27</v>
      </c>
      <c r="N769" s="15" t="n">
        <f aca="false">SUMPRODUCT(COUNTIF(G769:L769,번호조회!$B$4:$B$9))</f>
        <v>0</v>
      </c>
    </row>
    <row r="770" customFormat="false" ht="16.5" hidden="false" customHeight="true" outlineLevel="0" collapsed="false">
      <c r="E770" s="1" t="n">
        <f aca="false">$E$13-($F$13-F770)*7</f>
        <v>40915</v>
      </c>
      <c r="F770" s="12" t="n">
        <v>475</v>
      </c>
      <c r="G770" s="16" t="n">
        <v>1</v>
      </c>
      <c r="H770" s="17" t="n">
        <v>9</v>
      </c>
      <c r="I770" s="18" t="n">
        <v>14</v>
      </c>
      <c r="J770" s="19" t="n">
        <v>16</v>
      </c>
      <c r="K770" s="20" t="n">
        <v>21</v>
      </c>
      <c r="L770" s="21" t="n">
        <v>29</v>
      </c>
      <c r="M770" s="22" t="n">
        <v>3</v>
      </c>
      <c r="N770" s="15" t="n">
        <f aca="false">SUMPRODUCT(COUNTIF(G770:L770,번호조회!$B$4:$B$9))</f>
        <v>0</v>
      </c>
    </row>
    <row r="771" customFormat="false" ht="16.5" hidden="false" customHeight="true" outlineLevel="0" collapsed="false">
      <c r="E771" s="1" t="n">
        <f aca="false">$E$13-($F$13-F771)*7</f>
        <v>40908</v>
      </c>
      <c r="F771" s="12" t="n">
        <v>474</v>
      </c>
      <c r="G771" s="16" t="n">
        <v>4</v>
      </c>
      <c r="H771" s="17" t="n">
        <v>13</v>
      </c>
      <c r="I771" s="18" t="n">
        <v>18</v>
      </c>
      <c r="J771" s="19" t="n">
        <v>31</v>
      </c>
      <c r="K771" s="20" t="n">
        <v>33</v>
      </c>
      <c r="L771" s="21" t="n">
        <v>45</v>
      </c>
      <c r="M771" s="22" t="n">
        <v>43</v>
      </c>
      <c r="N771" s="15" t="n">
        <f aca="false">SUMPRODUCT(COUNTIF(G771:L771,번호조회!$B$4:$B$9))</f>
        <v>0</v>
      </c>
    </row>
    <row r="772" customFormat="false" ht="16.5" hidden="false" customHeight="true" outlineLevel="0" collapsed="false">
      <c r="E772" s="1" t="n">
        <f aca="false">$E$13-($F$13-F772)*7</f>
        <v>40901</v>
      </c>
      <c r="F772" s="12" t="n">
        <v>473</v>
      </c>
      <c r="G772" s="16" t="n">
        <v>8</v>
      </c>
      <c r="H772" s="17" t="n">
        <v>13</v>
      </c>
      <c r="I772" s="18" t="n">
        <v>20</v>
      </c>
      <c r="J772" s="19" t="n">
        <v>22</v>
      </c>
      <c r="K772" s="20" t="n">
        <v>23</v>
      </c>
      <c r="L772" s="21" t="n">
        <v>36</v>
      </c>
      <c r="M772" s="22" t="n">
        <v>34</v>
      </c>
      <c r="N772" s="15" t="n">
        <f aca="false">SUMPRODUCT(COUNTIF(G772:L772,번호조회!$B$4:$B$9))</f>
        <v>0</v>
      </c>
    </row>
    <row r="773" customFormat="false" ht="16.5" hidden="false" customHeight="true" outlineLevel="0" collapsed="false">
      <c r="E773" s="1" t="n">
        <f aca="false">$E$13-($F$13-F773)*7</f>
        <v>40894</v>
      </c>
      <c r="F773" s="12" t="n">
        <v>472</v>
      </c>
      <c r="G773" s="16" t="n">
        <v>16</v>
      </c>
      <c r="H773" s="17" t="n">
        <v>25</v>
      </c>
      <c r="I773" s="18" t="n">
        <v>26</v>
      </c>
      <c r="J773" s="19" t="n">
        <v>31</v>
      </c>
      <c r="K773" s="20" t="n">
        <v>36</v>
      </c>
      <c r="L773" s="21" t="n">
        <v>43</v>
      </c>
      <c r="M773" s="22" t="n">
        <v>44</v>
      </c>
      <c r="N773" s="15" t="n">
        <f aca="false">SUMPRODUCT(COUNTIF(G773:L773,번호조회!$B$4:$B$9))</f>
        <v>0</v>
      </c>
    </row>
    <row r="774" customFormat="false" ht="16.5" hidden="false" customHeight="true" outlineLevel="0" collapsed="false">
      <c r="E774" s="1" t="n">
        <f aca="false">$E$13-($F$13-F774)*7</f>
        <v>40887</v>
      </c>
      <c r="F774" s="12" t="n">
        <v>471</v>
      </c>
      <c r="G774" s="16" t="n">
        <v>6</v>
      </c>
      <c r="H774" s="17" t="n">
        <v>13</v>
      </c>
      <c r="I774" s="18" t="n">
        <v>29</v>
      </c>
      <c r="J774" s="19" t="n">
        <v>37</v>
      </c>
      <c r="K774" s="20" t="n">
        <v>39</v>
      </c>
      <c r="L774" s="21" t="n">
        <v>41</v>
      </c>
      <c r="M774" s="22" t="n">
        <v>43</v>
      </c>
      <c r="N774" s="15" t="n">
        <f aca="false">SUMPRODUCT(COUNTIF(G774:L774,번호조회!$B$4:$B$9))</f>
        <v>0</v>
      </c>
    </row>
    <row r="775" customFormat="false" ht="16.5" hidden="false" customHeight="true" outlineLevel="0" collapsed="false">
      <c r="E775" s="1" t="n">
        <f aca="false">$E$13-($F$13-F775)*7</f>
        <v>40880</v>
      </c>
      <c r="F775" s="12" t="n">
        <v>470</v>
      </c>
      <c r="G775" s="16" t="n">
        <v>10</v>
      </c>
      <c r="H775" s="17" t="n">
        <v>16</v>
      </c>
      <c r="I775" s="18" t="n">
        <v>20</v>
      </c>
      <c r="J775" s="19" t="n">
        <v>39</v>
      </c>
      <c r="K775" s="20" t="n">
        <v>41</v>
      </c>
      <c r="L775" s="21" t="n">
        <v>42</v>
      </c>
      <c r="M775" s="22" t="n">
        <v>27</v>
      </c>
      <c r="N775" s="15" t="n">
        <f aca="false">SUMPRODUCT(COUNTIF(G775:L775,번호조회!$B$4:$B$9))</f>
        <v>0</v>
      </c>
    </row>
    <row r="776" customFormat="false" ht="16.5" hidden="false" customHeight="true" outlineLevel="0" collapsed="false">
      <c r="E776" s="1" t="n">
        <f aca="false">$E$13-($F$13-F776)*7</f>
        <v>40873</v>
      </c>
      <c r="F776" s="12" t="n">
        <v>469</v>
      </c>
      <c r="G776" s="16" t="n">
        <v>4</v>
      </c>
      <c r="H776" s="17" t="n">
        <v>21</v>
      </c>
      <c r="I776" s="18" t="n">
        <v>22</v>
      </c>
      <c r="J776" s="19" t="n">
        <v>34</v>
      </c>
      <c r="K776" s="20" t="n">
        <v>37</v>
      </c>
      <c r="L776" s="21" t="n">
        <v>38</v>
      </c>
      <c r="M776" s="22" t="n">
        <v>33</v>
      </c>
      <c r="N776" s="15" t="n">
        <f aca="false">SUMPRODUCT(COUNTIF(G776:L776,번호조회!$B$4:$B$9))</f>
        <v>0</v>
      </c>
    </row>
    <row r="777" customFormat="false" ht="16.5" hidden="false" customHeight="true" outlineLevel="0" collapsed="false">
      <c r="E777" s="1" t="n">
        <f aca="false">$E$13-($F$13-F777)*7</f>
        <v>40866</v>
      </c>
      <c r="F777" s="12" t="n">
        <v>468</v>
      </c>
      <c r="G777" s="16" t="n">
        <v>8</v>
      </c>
      <c r="H777" s="17" t="n">
        <v>13</v>
      </c>
      <c r="I777" s="18" t="n">
        <v>15</v>
      </c>
      <c r="J777" s="19" t="n">
        <v>28</v>
      </c>
      <c r="K777" s="20" t="n">
        <v>37</v>
      </c>
      <c r="L777" s="21" t="n">
        <v>43</v>
      </c>
      <c r="M777" s="22" t="n">
        <v>17</v>
      </c>
      <c r="N777" s="15" t="n">
        <f aca="false">SUMPRODUCT(COUNTIF(G777:L777,번호조회!$B$4:$B$9))</f>
        <v>0</v>
      </c>
    </row>
    <row r="778" customFormat="false" ht="16.5" hidden="false" customHeight="true" outlineLevel="0" collapsed="false">
      <c r="E778" s="1" t="n">
        <f aca="false">$E$13-($F$13-F778)*7</f>
        <v>40859</v>
      </c>
      <c r="F778" s="12" t="n">
        <v>467</v>
      </c>
      <c r="G778" s="16" t="n">
        <v>2</v>
      </c>
      <c r="H778" s="17" t="n">
        <v>12</v>
      </c>
      <c r="I778" s="18" t="n">
        <v>14</v>
      </c>
      <c r="J778" s="19" t="n">
        <v>17</v>
      </c>
      <c r="K778" s="20" t="n">
        <v>24</v>
      </c>
      <c r="L778" s="21" t="n">
        <v>40</v>
      </c>
      <c r="M778" s="22" t="n">
        <v>39</v>
      </c>
      <c r="N778" s="15" t="n">
        <f aca="false">SUMPRODUCT(COUNTIF(G778:L778,번호조회!$B$4:$B$9))</f>
        <v>0</v>
      </c>
    </row>
    <row r="779" customFormat="false" ht="16.5" hidden="false" customHeight="true" outlineLevel="0" collapsed="false">
      <c r="E779" s="1" t="n">
        <f aca="false">$E$13-($F$13-F779)*7</f>
        <v>40852</v>
      </c>
      <c r="F779" s="12" t="n">
        <v>466</v>
      </c>
      <c r="G779" s="16" t="n">
        <v>4</v>
      </c>
      <c r="H779" s="17" t="n">
        <v>10</v>
      </c>
      <c r="I779" s="18" t="n">
        <v>13</v>
      </c>
      <c r="J779" s="19" t="n">
        <v>23</v>
      </c>
      <c r="K779" s="20" t="n">
        <v>32</v>
      </c>
      <c r="L779" s="21" t="n">
        <v>44</v>
      </c>
      <c r="M779" s="22" t="n">
        <v>20</v>
      </c>
      <c r="N779" s="15" t="n">
        <f aca="false">SUMPRODUCT(COUNTIF(G779:L779,번호조회!$B$4:$B$9))</f>
        <v>0</v>
      </c>
    </row>
    <row r="780" customFormat="false" ht="16.5" hidden="false" customHeight="true" outlineLevel="0" collapsed="false">
      <c r="E780" s="1" t="n">
        <f aca="false">$E$13-($F$13-F780)*7</f>
        <v>40845</v>
      </c>
      <c r="F780" s="12" t="n">
        <v>465</v>
      </c>
      <c r="G780" s="16" t="n">
        <v>1</v>
      </c>
      <c r="H780" s="17" t="n">
        <v>8</v>
      </c>
      <c r="I780" s="18" t="n">
        <v>11</v>
      </c>
      <c r="J780" s="19" t="n">
        <v>13</v>
      </c>
      <c r="K780" s="20" t="n">
        <v>22</v>
      </c>
      <c r="L780" s="21" t="n">
        <v>38</v>
      </c>
      <c r="M780" s="22" t="n">
        <v>31</v>
      </c>
      <c r="N780" s="15" t="n">
        <f aca="false">SUMPRODUCT(COUNTIF(G780:L780,번호조회!$B$4:$B$9))</f>
        <v>0</v>
      </c>
    </row>
    <row r="781" customFormat="false" ht="16.5" hidden="false" customHeight="true" outlineLevel="0" collapsed="false">
      <c r="E781" s="1" t="n">
        <f aca="false">$E$13-($F$13-F781)*7</f>
        <v>40838</v>
      </c>
      <c r="F781" s="12" t="n">
        <v>464</v>
      </c>
      <c r="G781" s="16" t="n">
        <v>6</v>
      </c>
      <c r="H781" s="17" t="n">
        <v>12</v>
      </c>
      <c r="I781" s="18" t="n">
        <v>15</v>
      </c>
      <c r="J781" s="19" t="n">
        <v>34</v>
      </c>
      <c r="K781" s="20" t="n">
        <v>42</v>
      </c>
      <c r="L781" s="21" t="n">
        <v>44</v>
      </c>
      <c r="M781" s="22" t="n">
        <v>4</v>
      </c>
      <c r="N781" s="15" t="n">
        <f aca="false">SUMPRODUCT(COUNTIF(G781:L781,번호조회!$B$4:$B$9))</f>
        <v>0</v>
      </c>
    </row>
    <row r="782" customFormat="false" ht="16.5" hidden="false" customHeight="true" outlineLevel="0" collapsed="false">
      <c r="E782" s="1" t="n">
        <f aca="false">$E$13-($F$13-F782)*7</f>
        <v>40831</v>
      </c>
      <c r="F782" s="12" t="n">
        <v>463</v>
      </c>
      <c r="G782" s="16" t="n">
        <v>23</v>
      </c>
      <c r="H782" s="17" t="n">
        <v>29</v>
      </c>
      <c r="I782" s="18" t="n">
        <v>31</v>
      </c>
      <c r="J782" s="19" t="n">
        <v>33</v>
      </c>
      <c r="K782" s="20" t="n">
        <v>34</v>
      </c>
      <c r="L782" s="21" t="n">
        <v>44</v>
      </c>
      <c r="M782" s="22" t="n">
        <v>40</v>
      </c>
      <c r="N782" s="15" t="n">
        <f aca="false">SUMPRODUCT(COUNTIF(G782:L782,번호조회!$B$4:$B$9))</f>
        <v>0</v>
      </c>
    </row>
    <row r="783" customFormat="false" ht="16.5" hidden="false" customHeight="true" outlineLevel="0" collapsed="false">
      <c r="E783" s="1" t="n">
        <f aca="false">$E$13-($F$13-F783)*7</f>
        <v>40824</v>
      </c>
      <c r="F783" s="12" t="n">
        <v>462</v>
      </c>
      <c r="G783" s="16" t="n">
        <v>3</v>
      </c>
      <c r="H783" s="17" t="n">
        <v>20</v>
      </c>
      <c r="I783" s="18" t="n">
        <v>24</v>
      </c>
      <c r="J783" s="19" t="n">
        <v>32</v>
      </c>
      <c r="K783" s="20" t="n">
        <v>37</v>
      </c>
      <c r="L783" s="21" t="n">
        <v>45</v>
      </c>
      <c r="M783" s="22" t="n">
        <v>4</v>
      </c>
      <c r="N783" s="15" t="n">
        <f aca="false">SUMPRODUCT(COUNTIF(G783:L783,번호조회!$B$4:$B$9))</f>
        <v>0</v>
      </c>
    </row>
    <row r="784" customFormat="false" ht="16.5" hidden="false" customHeight="true" outlineLevel="0" collapsed="false">
      <c r="E784" s="1" t="n">
        <f aca="false">$E$13-($F$13-F784)*7</f>
        <v>40817</v>
      </c>
      <c r="F784" s="12" t="n">
        <v>461</v>
      </c>
      <c r="G784" s="16" t="n">
        <v>11</v>
      </c>
      <c r="H784" s="17" t="n">
        <v>18</v>
      </c>
      <c r="I784" s="18" t="n">
        <v>26</v>
      </c>
      <c r="J784" s="19" t="n">
        <v>31</v>
      </c>
      <c r="K784" s="20" t="n">
        <v>37</v>
      </c>
      <c r="L784" s="21" t="n">
        <v>40</v>
      </c>
      <c r="M784" s="22" t="n">
        <v>43</v>
      </c>
      <c r="N784" s="15" t="n">
        <f aca="false">SUMPRODUCT(COUNTIF(G784:L784,번호조회!$B$4:$B$9))</f>
        <v>0</v>
      </c>
    </row>
    <row r="785" customFormat="false" ht="16.5" hidden="false" customHeight="true" outlineLevel="0" collapsed="false">
      <c r="E785" s="1" t="n">
        <f aca="false">$E$13-($F$13-F785)*7</f>
        <v>40810</v>
      </c>
      <c r="F785" s="12" t="n">
        <v>460</v>
      </c>
      <c r="G785" s="16" t="n">
        <v>8</v>
      </c>
      <c r="H785" s="17" t="n">
        <v>11</v>
      </c>
      <c r="I785" s="18" t="n">
        <v>28</v>
      </c>
      <c r="J785" s="19" t="n">
        <v>30</v>
      </c>
      <c r="K785" s="20" t="n">
        <v>43</v>
      </c>
      <c r="L785" s="21" t="n">
        <v>45</v>
      </c>
      <c r="M785" s="22" t="n">
        <v>41</v>
      </c>
      <c r="N785" s="15" t="n">
        <f aca="false">SUMPRODUCT(COUNTIF(G785:L785,번호조회!$B$4:$B$9))</f>
        <v>0</v>
      </c>
    </row>
    <row r="786" customFormat="false" ht="16.5" hidden="false" customHeight="true" outlineLevel="0" collapsed="false">
      <c r="E786" s="1" t="n">
        <f aca="false">$E$13-($F$13-F786)*7</f>
        <v>40803</v>
      </c>
      <c r="F786" s="12" t="n">
        <v>459</v>
      </c>
      <c r="G786" s="16" t="n">
        <v>4</v>
      </c>
      <c r="H786" s="17" t="n">
        <v>6</v>
      </c>
      <c r="I786" s="18" t="n">
        <v>10</v>
      </c>
      <c r="J786" s="19" t="n">
        <v>14</v>
      </c>
      <c r="K786" s="20" t="n">
        <v>25</v>
      </c>
      <c r="L786" s="21" t="n">
        <v>40</v>
      </c>
      <c r="M786" s="22" t="n">
        <v>12</v>
      </c>
      <c r="N786" s="15" t="n">
        <f aca="false">SUMPRODUCT(COUNTIF(G786:L786,번호조회!$B$4:$B$9))</f>
        <v>0</v>
      </c>
    </row>
    <row r="787" customFormat="false" ht="16.5" hidden="false" customHeight="true" outlineLevel="0" collapsed="false">
      <c r="E787" s="1" t="n">
        <f aca="false">$E$13-($F$13-F787)*7</f>
        <v>40796</v>
      </c>
      <c r="F787" s="12" t="n">
        <v>458</v>
      </c>
      <c r="G787" s="16" t="n">
        <v>4</v>
      </c>
      <c r="H787" s="17" t="n">
        <v>9</v>
      </c>
      <c r="I787" s="18" t="n">
        <v>10</v>
      </c>
      <c r="J787" s="19" t="n">
        <v>32</v>
      </c>
      <c r="K787" s="20" t="n">
        <v>36</v>
      </c>
      <c r="L787" s="21" t="n">
        <v>40</v>
      </c>
      <c r="M787" s="22" t="n">
        <v>18</v>
      </c>
      <c r="N787" s="15" t="n">
        <f aca="false">SUMPRODUCT(COUNTIF(G787:L787,번호조회!$B$4:$B$9))</f>
        <v>0</v>
      </c>
    </row>
    <row r="788" customFormat="false" ht="16.5" hidden="false" customHeight="true" outlineLevel="0" collapsed="false">
      <c r="E788" s="1" t="n">
        <f aca="false">$E$13-($F$13-F788)*7</f>
        <v>40789</v>
      </c>
      <c r="F788" s="12" t="n">
        <v>457</v>
      </c>
      <c r="G788" s="16" t="n">
        <v>8</v>
      </c>
      <c r="H788" s="17" t="n">
        <v>10</v>
      </c>
      <c r="I788" s="18" t="n">
        <v>18</v>
      </c>
      <c r="J788" s="19" t="n">
        <v>23</v>
      </c>
      <c r="K788" s="20" t="n">
        <v>27</v>
      </c>
      <c r="L788" s="21" t="n">
        <v>40</v>
      </c>
      <c r="M788" s="22" t="n">
        <v>33</v>
      </c>
      <c r="N788" s="15" t="n">
        <f aca="false">SUMPRODUCT(COUNTIF(G788:L788,번호조회!$B$4:$B$9))</f>
        <v>0</v>
      </c>
    </row>
    <row r="789" customFormat="false" ht="16.5" hidden="false" customHeight="true" outlineLevel="0" collapsed="false">
      <c r="E789" s="1" t="n">
        <f aca="false">$E$13-($F$13-F789)*7</f>
        <v>40782</v>
      </c>
      <c r="F789" s="12" t="n">
        <v>456</v>
      </c>
      <c r="G789" s="16" t="n">
        <v>1</v>
      </c>
      <c r="H789" s="17" t="n">
        <v>7</v>
      </c>
      <c r="I789" s="18" t="n">
        <v>12</v>
      </c>
      <c r="J789" s="19" t="n">
        <v>18</v>
      </c>
      <c r="K789" s="20" t="n">
        <v>23</v>
      </c>
      <c r="L789" s="21" t="n">
        <v>27</v>
      </c>
      <c r="M789" s="22" t="n">
        <v>44</v>
      </c>
      <c r="N789" s="15" t="n">
        <f aca="false">SUMPRODUCT(COUNTIF(G789:L789,번호조회!$B$4:$B$9))</f>
        <v>0</v>
      </c>
    </row>
    <row r="790" customFormat="false" ht="16.5" hidden="false" customHeight="true" outlineLevel="0" collapsed="false">
      <c r="E790" s="1" t="n">
        <f aca="false">$E$13-($F$13-F790)*7</f>
        <v>40775</v>
      </c>
      <c r="F790" s="12" t="n">
        <v>455</v>
      </c>
      <c r="G790" s="16" t="n">
        <v>4</v>
      </c>
      <c r="H790" s="17" t="n">
        <v>19</v>
      </c>
      <c r="I790" s="18" t="n">
        <v>20</v>
      </c>
      <c r="J790" s="19" t="n">
        <v>26</v>
      </c>
      <c r="K790" s="20" t="n">
        <v>30</v>
      </c>
      <c r="L790" s="21" t="n">
        <v>35</v>
      </c>
      <c r="M790" s="22" t="n">
        <v>24</v>
      </c>
      <c r="N790" s="15" t="n">
        <f aca="false">SUMPRODUCT(COUNTIF(G790:L790,번호조회!$B$4:$B$9))</f>
        <v>0</v>
      </c>
    </row>
    <row r="791" customFormat="false" ht="16.5" hidden="false" customHeight="true" outlineLevel="0" collapsed="false">
      <c r="E791" s="1" t="n">
        <f aca="false">$E$13-($F$13-F791)*7</f>
        <v>40768</v>
      </c>
      <c r="F791" s="12" t="n">
        <v>454</v>
      </c>
      <c r="G791" s="16" t="n">
        <v>13</v>
      </c>
      <c r="H791" s="17" t="n">
        <v>25</v>
      </c>
      <c r="I791" s="18" t="n">
        <v>27</v>
      </c>
      <c r="J791" s="19" t="n">
        <v>34</v>
      </c>
      <c r="K791" s="20" t="n">
        <v>38</v>
      </c>
      <c r="L791" s="21" t="n">
        <v>41</v>
      </c>
      <c r="M791" s="22" t="n">
        <v>10</v>
      </c>
      <c r="N791" s="15" t="n">
        <f aca="false">SUMPRODUCT(COUNTIF(G791:L791,번호조회!$B$4:$B$9))</f>
        <v>0</v>
      </c>
    </row>
    <row r="792" customFormat="false" ht="16.5" hidden="false" customHeight="true" outlineLevel="0" collapsed="false">
      <c r="E792" s="1" t="n">
        <f aca="false">$E$13-($F$13-F792)*7</f>
        <v>40761</v>
      </c>
      <c r="F792" s="12" t="n">
        <v>453</v>
      </c>
      <c r="G792" s="16" t="n">
        <v>12</v>
      </c>
      <c r="H792" s="17" t="n">
        <v>24</v>
      </c>
      <c r="I792" s="18" t="n">
        <v>33</v>
      </c>
      <c r="J792" s="19" t="n">
        <v>38</v>
      </c>
      <c r="K792" s="20" t="n">
        <v>40</v>
      </c>
      <c r="L792" s="21" t="n">
        <v>42</v>
      </c>
      <c r="M792" s="22" t="n">
        <v>30</v>
      </c>
      <c r="N792" s="15" t="n">
        <f aca="false">SUMPRODUCT(COUNTIF(G792:L792,번호조회!$B$4:$B$9))</f>
        <v>0</v>
      </c>
    </row>
    <row r="793" customFormat="false" ht="16.5" hidden="false" customHeight="true" outlineLevel="0" collapsed="false">
      <c r="E793" s="1" t="n">
        <f aca="false">$E$13-($F$13-F793)*7</f>
        <v>40754</v>
      </c>
      <c r="F793" s="12" t="n">
        <v>452</v>
      </c>
      <c r="G793" s="16" t="n">
        <v>8</v>
      </c>
      <c r="H793" s="17" t="n">
        <v>10</v>
      </c>
      <c r="I793" s="18" t="n">
        <v>18</v>
      </c>
      <c r="J793" s="19" t="n">
        <v>30</v>
      </c>
      <c r="K793" s="20" t="n">
        <v>32</v>
      </c>
      <c r="L793" s="21" t="n">
        <v>34</v>
      </c>
      <c r="M793" s="22" t="n">
        <v>27</v>
      </c>
      <c r="N793" s="15" t="n">
        <f aca="false">SUMPRODUCT(COUNTIF(G793:L793,번호조회!$B$4:$B$9))</f>
        <v>0</v>
      </c>
    </row>
    <row r="794" customFormat="false" ht="16.5" hidden="false" customHeight="true" outlineLevel="0" collapsed="false">
      <c r="E794" s="1" t="n">
        <f aca="false">$E$13-($F$13-F794)*7</f>
        <v>40747</v>
      </c>
      <c r="F794" s="12" t="n">
        <v>451</v>
      </c>
      <c r="G794" s="16" t="n">
        <v>12</v>
      </c>
      <c r="H794" s="17" t="n">
        <v>15</v>
      </c>
      <c r="I794" s="18" t="n">
        <v>20</v>
      </c>
      <c r="J794" s="19" t="n">
        <v>24</v>
      </c>
      <c r="K794" s="20" t="n">
        <v>30</v>
      </c>
      <c r="L794" s="21" t="n">
        <v>38</v>
      </c>
      <c r="M794" s="22" t="n">
        <v>29</v>
      </c>
      <c r="N794" s="15" t="n">
        <f aca="false">SUMPRODUCT(COUNTIF(G794:L794,번호조회!$B$4:$B$9))</f>
        <v>0</v>
      </c>
    </row>
    <row r="795" customFormat="false" ht="16.5" hidden="false" customHeight="true" outlineLevel="0" collapsed="false">
      <c r="E795" s="1" t="n">
        <f aca="false">$E$13-($F$13-F795)*7</f>
        <v>40740</v>
      </c>
      <c r="F795" s="12" t="n">
        <v>450</v>
      </c>
      <c r="G795" s="16" t="n">
        <v>6</v>
      </c>
      <c r="H795" s="17" t="n">
        <v>14</v>
      </c>
      <c r="I795" s="18" t="n">
        <v>19</v>
      </c>
      <c r="J795" s="19" t="n">
        <v>21</v>
      </c>
      <c r="K795" s="20" t="n">
        <v>23</v>
      </c>
      <c r="L795" s="21" t="n">
        <v>31</v>
      </c>
      <c r="M795" s="22" t="n">
        <v>13</v>
      </c>
      <c r="N795" s="15" t="n">
        <f aca="false">SUMPRODUCT(COUNTIF(G795:L795,번호조회!$B$4:$B$9))</f>
        <v>0</v>
      </c>
    </row>
    <row r="796" customFormat="false" ht="16.5" hidden="false" customHeight="true" outlineLevel="0" collapsed="false">
      <c r="E796" s="1" t="n">
        <f aca="false">$E$13-($F$13-F796)*7</f>
        <v>40733</v>
      </c>
      <c r="F796" s="12" t="n">
        <v>449</v>
      </c>
      <c r="G796" s="16" t="n">
        <v>3</v>
      </c>
      <c r="H796" s="17" t="n">
        <v>10</v>
      </c>
      <c r="I796" s="18" t="n">
        <v>20</v>
      </c>
      <c r="J796" s="19" t="n">
        <v>26</v>
      </c>
      <c r="K796" s="20" t="n">
        <v>35</v>
      </c>
      <c r="L796" s="21" t="n">
        <v>43</v>
      </c>
      <c r="M796" s="22" t="n">
        <v>36</v>
      </c>
      <c r="N796" s="15" t="n">
        <f aca="false">SUMPRODUCT(COUNTIF(G796:L796,번호조회!$B$4:$B$9))</f>
        <v>0</v>
      </c>
    </row>
    <row r="797" customFormat="false" ht="16.5" hidden="false" customHeight="true" outlineLevel="0" collapsed="false">
      <c r="E797" s="1" t="n">
        <f aca="false">$E$13-($F$13-F797)*7</f>
        <v>40726</v>
      </c>
      <c r="F797" s="12" t="n">
        <v>448</v>
      </c>
      <c r="G797" s="16" t="n">
        <v>3</v>
      </c>
      <c r="H797" s="17" t="n">
        <v>7</v>
      </c>
      <c r="I797" s="18" t="n">
        <v>13</v>
      </c>
      <c r="J797" s="19" t="n">
        <v>27</v>
      </c>
      <c r="K797" s="20" t="n">
        <v>40</v>
      </c>
      <c r="L797" s="21" t="n">
        <v>41</v>
      </c>
      <c r="M797" s="22" t="n">
        <v>36</v>
      </c>
      <c r="N797" s="15" t="n">
        <f aca="false">SUMPRODUCT(COUNTIF(G797:L797,번호조회!$B$4:$B$9))</f>
        <v>0</v>
      </c>
    </row>
    <row r="798" customFormat="false" ht="16.5" hidden="false" customHeight="true" outlineLevel="0" collapsed="false">
      <c r="E798" s="1" t="n">
        <f aca="false">$E$13-($F$13-F798)*7</f>
        <v>40719</v>
      </c>
      <c r="F798" s="12" t="n">
        <v>447</v>
      </c>
      <c r="G798" s="16" t="n">
        <v>2</v>
      </c>
      <c r="H798" s="17" t="n">
        <v>7</v>
      </c>
      <c r="I798" s="18" t="n">
        <v>8</v>
      </c>
      <c r="J798" s="19" t="n">
        <v>9</v>
      </c>
      <c r="K798" s="20" t="n">
        <v>17</v>
      </c>
      <c r="L798" s="21" t="n">
        <v>33</v>
      </c>
      <c r="M798" s="22" t="n">
        <v>34</v>
      </c>
      <c r="N798" s="15" t="n">
        <f aca="false">SUMPRODUCT(COUNTIF(G798:L798,번호조회!$B$4:$B$9))</f>
        <v>0</v>
      </c>
    </row>
    <row r="799" customFormat="false" ht="16.5" hidden="false" customHeight="true" outlineLevel="0" collapsed="false">
      <c r="E799" s="1" t="n">
        <f aca="false">$E$13-($F$13-F799)*7</f>
        <v>40712</v>
      </c>
      <c r="F799" s="12" t="n">
        <v>446</v>
      </c>
      <c r="G799" s="16" t="n">
        <v>1</v>
      </c>
      <c r="H799" s="17" t="n">
        <v>11</v>
      </c>
      <c r="I799" s="18" t="n">
        <v>12</v>
      </c>
      <c r="J799" s="19" t="n">
        <v>14</v>
      </c>
      <c r="K799" s="20" t="n">
        <v>26</v>
      </c>
      <c r="L799" s="21" t="n">
        <v>35</v>
      </c>
      <c r="M799" s="22" t="n">
        <v>6</v>
      </c>
      <c r="N799" s="15" t="n">
        <f aca="false">SUMPRODUCT(COUNTIF(G799:L799,번호조회!$B$4:$B$9))</f>
        <v>0</v>
      </c>
    </row>
    <row r="800" customFormat="false" ht="16.5" hidden="false" customHeight="true" outlineLevel="0" collapsed="false">
      <c r="E800" s="1" t="n">
        <f aca="false">$E$13-($F$13-F800)*7</f>
        <v>40705</v>
      </c>
      <c r="F800" s="12" t="n">
        <v>445</v>
      </c>
      <c r="G800" s="16" t="n">
        <v>13</v>
      </c>
      <c r="H800" s="17" t="n">
        <v>20</v>
      </c>
      <c r="I800" s="18" t="n">
        <v>21</v>
      </c>
      <c r="J800" s="19" t="n">
        <v>30</v>
      </c>
      <c r="K800" s="20" t="n">
        <v>39</v>
      </c>
      <c r="L800" s="21" t="n">
        <v>45</v>
      </c>
      <c r="M800" s="22" t="n">
        <v>32</v>
      </c>
      <c r="N800" s="15" t="n">
        <f aca="false">SUMPRODUCT(COUNTIF(G800:L800,번호조회!$B$4:$B$9))</f>
        <v>0</v>
      </c>
    </row>
    <row r="801" customFormat="false" ht="16.5" hidden="false" customHeight="true" outlineLevel="0" collapsed="false">
      <c r="E801" s="1" t="n">
        <f aca="false">$E$13-($F$13-F801)*7</f>
        <v>40698</v>
      </c>
      <c r="F801" s="12" t="n">
        <v>444</v>
      </c>
      <c r="G801" s="16" t="n">
        <v>11</v>
      </c>
      <c r="H801" s="17" t="n">
        <v>13</v>
      </c>
      <c r="I801" s="18" t="n">
        <v>23</v>
      </c>
      <c r="J801" s="19" t="n">
        <v>35</v>
      </c>
      <c r="K801" s="20" t="n">
        <v>43</v>
      </c>
      <c r="L801" s="21" t="n">
        <v>45</v>
      </c>
      <c r="M801" s="22" t="n">
        <v>17</v>
      </c>
      <c r="N801" s="15" t="n">
        <f aca="false">SUMPRODUCT(COUNTIF(G801:L801,번호조회!$B$4:$B$9))</f>
        <v>0</v>
      </c>
    </row>
    <row r="802" customFormat="false" ht="16.5" hidden="false" customHeight="true" outlineLevel="0" collapsed="false">
      <c r="E802" s="1" t="n">
        <f aca="false">$E$13-($F$13-F802)*7</f>
        <v>40691</v>
      </c>
      <c r="F802" s="12" t="n">
        <v>443</v>
      </c>
      <c r="G802" s="16" t="n">
        <v>4</v>
      </c>
      <c r="H802" s="17" t="n">
        <v>6</v>
      </c>
      <c r="I802" s="18" t="n">
        <v>10</v>
      </c>
      <c r="J802" s="19" t="n">
        <v>19</v>
      </c>
      <c r="K802" s="20" t="n">
        <v>20</v>
      </c>
      <c r="L802" s="21" t="n">
        <v>44</v>
      </c>
      <c r="M802" s="22" t="n">
        <v>14</v>
      </c>
      <c r="N802" s="15" t="n">
        <f aca="false">SUMPRODUCT(COUNTIF(G802:L802,번호조회!$B$4:$B$9))</f>
        <v>0</v>
      </c>
    </row>
    <row r="803" customFormat="false" ht="16.5" hidden="false" customHeight="true" outlineLevel="0" collapsed="false">
      <c r="E803" s="1" t="n">
        <f aca="false">$E$13-($F$13-F803)*7</f>
        <v>40684</v>
      </c>
      <c r="F803" s="12" t="n">
        <v>442</v>
      </c>
      <c r="G803" s="16" t="n">
        <v>25</v>
      </c>
      <c r="H803" s="17" t="n">
        <v>27</v>
      </c>
      <c r="I803" s="18" t="n">
        <v>29</v>
      </c>
      <c r="J803" s="19" t="n">
        <v>36</v>
      </c>
      <c r="K803" s="20" t="n">
        <v>38</v>
      </c>
      <c r="L803" s="21" t="n">
        <v>40</v>
      </c>
      <c r="M803" s="22" t="n">
        <v>41</v>
      </c>
      <c r="N803" s="15" t="n">
        <f aca="false">SUMPRODUCT(COUNTIF(G803:L803,번호조회!$B$4:$B$9))</f>
        <v>0</v>
      </c>
    </row>
    <row r="804" customFormat="false" ht="16.5" hidden="false" customHeight="true" outlineLevel="0" collapsed="false">
      <c r="E804" s="1" t="n">
        <f aca="false">$E$13-($F$13-F804)*7</f>
        <v>40677</v>
      </c>
      <c r="F804" s="12" t="n">
        <v>441</v>
      </c>
      <c r="G804" s="16" t="n">
        <v>1</v>
      </c>
      <c r="H804" s="17" t="n">
        <v>23</v>
      </c>
      <c r="I804" s="18" t="n">
        <v>28</v>
      </c>
      <c r="J804" s="19" t="n">
        <v>30</v>
      </c>
      <c r="K804" s="20" t="n">
        <v>34</v>
      </c>
      <c r="L804" s="21" t="n">
        <v>35</v>
      </c>
      <c r="M804" s="22" t="n">
        <v>9</v>
      </c>
      <c r="N804" s="15" t="n">
        <f aca="false">SUMPRODUCT(COUNTIF(G804:L804,번호조회!$B$4:$B$9))</f>
        <v>0</v>
      </c>
    </row>
    <row r="805" customFormat="false" ht="16.5" hidden="false" customHeight="true" outlineLevel="0" collapsed="false">
      <c r="E805" s="1" t="n">
        <f aca="false">$E$13-($F$13-F805)*7</f>
        <v>40670</v>
      </c>
      <c r="F805" s="12" t="n">
        <v>440</v>
      </c>
      <c r="G805" s="16" t="n">
        <v>10</v>
      </c>
      <c r="H805" s="17" t="n">
        <v>22</v>
      </c>
      <c r="I805" s="18" t="n">
        <v>28</v>
      </c>
      <c r="J805" s="19" t="n">
        <v>34</v>
      </c>
      <c r="K805" s="20" t="n">
        <v>36</v>
      </c>
      <c r="L805" s="21" t="n">
        <v>44</v>
      </c>
      <c r="M805" s="22" t="n">
        <v>2</v>
      </c>
      <c r="N805" s="15" t="n">
        <f aca="false">SUMPRODUCT(COUNTIF(G805:L805,번호조회!$B$4:$B$9))</f>
        <v>0</v>
      </c>
    </row>
    <row r="806" customFormat="false" ht="16.5" hidden="false" customHeight="true" outlineLevel="0" collapsed="false">
      <c r="E806" s="1" t="n">
        <f aca="false">$E$13-($F$13-F806)*7</f>
        <v>40663</v>
      </c>
      <c r="F806" s="12" t="n">
        <v>439</v>
      </c>
      <c r="G806" s="16" t="n">
        <v>17</v>
      </c>
      <c r="H806" s="17" t="n">
        <v>20</v>
      </c>
      <c r="I806" s="18" t="n">
        <v>30</v>
      </c>
      <c r="J806" s="19" t="n">
        <v>31</v>
      </c>
      <c r="K806" s="20" t="n">
        <v>37</v>
      </c>
      <c r="L806" s="21" t="n">
        <v>40</v>
      </c>
      <c r="M806" s="22" t="n">
        <v>25</v>
      </c>
      <c r="N806" s="15" t="n">
        <f aca="false">SUMPRODUCT(COUNTIF(G806:L806,번호조회!$B$4:$B$9))</f>
        <v>0</v>
      </c>
    </row>
    <row r="807" customFormat="false" ht="16.5" hidden="false" customHeight="true" outlineLevel="0" collapsed="false">
      <c r="E807" s="1" t="n">
        <f aca="false">$E$13-($F$13-F807)*7</f>
        <v>40656</v>
      </c>
      <c r="F807" s="12" t="n">
        <v>438</v>
      </c>
      <c r="G807" s="16" t="n">
        <v>6</v>
      </c>
      <c r="H807" s="17" t="n">
        <v>12</v>
      </c>
      <c r="I807" s="18" t="n">
        <v>20</v>
      </c>
      <c r="J807" s="19" t="n">
        <v>26</v>
      </c>
      <c r="K807" s="20" t="n">
        <v>29</v>
      </c>
      <c r="L807" s="21" t="n">
        <v>38</v>
      </c>
      <c r="M807" s="22" t="n">
        <v>45</v>
      </c>
      <c r="N807" s="15" t="n">
        <f aca="false">SUMPRODUCT(COUNTIF(G807:L807,번호조회!$B$4:$B$9))</f>
        <v>0</v>
      </c>
    </row>
    <row r="808" customFormat="false" ht="16.5" hidden="false" customHeight="true" outlineLevel="0" collapsed="false">
      <c r="E808" s="1" t="n">
        <f aca="false">$E$13-($F$13-F808)*7</f>
        <v>40649</v>
      </c>
      <c r="F808" s="12" t="n">
        <v>437</v>
      </c>
      <c r="G808" s="16" t="n">
        <v>11</v>
      </c>
      <c r="H808" s="17" t="n">
        <v>16</v>
      </c>
      <c r="I808" s="18" t="n">
        <v>29</v>
      </c>
      <c r="J808" s="19" t="n">
        <v>38</v>
      </c>
      <c r="K808" s="20" t="n">
        <v>41</v>
      </c>
      <c r="L808" s="21" t="n">
        <v>44</v>
      </c>
      <c r="M808" s="22" t="n">
        <v>21</v>
      </c>
      <c r="N808" s="15" t="n">
        <f aca="false">SUMPRODUCT(COUNTIF(G808:L808,번호조회!$B$4:$B$9))</f>
        <v>0</v>
      </c>
    </row>
    <row r="809" customFormat="false" ht="16.5" hidden="false" customHeight="true" outlineLevel="0" collapsed="false">
      <c r="E809" s="1" t="n">
        <f aca="false">$E$13-($F$13-F809)*7</f>
        <v>40642</v>
      </c>
      <c r="F809" s="12" t="n">
        <v>436</v>
      </c>
      <c r="G809" s="16" t="n">
        <v>9</v>
      </c>
      <c r="H809" s="17" t="n">
        <v>14</v>
      </c>
      <c r="I809" s="18" t="n">
        <v>20</v>
      </c>
      <c r="J809" s="19" t="n">
        <v>22</v>
      </c>
      <c r="K809" s="20" t="n">
        <v>33</v>
      </c>
      <c r="L809" s="21" t="n">
        <v>34</v>
      </c>
      <c r="M809" s="22" t="n">
        <v>28</v>
      </c>
      <c r="N809" s="15" t="n">
        <f aca="false">SUMPRODUCT(COUNTIF(G809:L809,번호조회!$B$4:$B$9))</f>
        <v>0</v>
      </c>
    </row>
    <row r="810" customFormat="false" ht="16.5" hidden="false" customHeight="true" outlineLevel="0" collapsed="false">
      <c r="E810" s="1" t="n">
        <f aca="false">$E$13-($F$13-F810)*7</f>
        <v>40635</v>
      </c>
      <c r="F810" s="12" t="n">
        <v>435</v>
      </c>
      <c r="G810" s="16" t="n">
        <v>8</v>
      </c>
      <c r="H810" s="17" t="n">
        <v>16</v>
      </c>
      <c r="I810" s="18" t="n">
        <v>26</v>
      </c>
      <c r="J810" s="19" t="n">
        <v>30</v>
      </c>
      <c r="K810" s="20" t="n">
        <v>38</v>
      </c>
      <c r="L810" s="21" t="n">
        <v>45</v>
      </c>
      <c r="M810" s="22" t="n">
        <v>42</v>
      </c>
      <c r="N810" s="15" t="n">
        <f aca="false">SUMPRODUCT(COUNTIF(G810:L810,번호조회!$B$4:$B$9))</f>
        <v>0</v>
      </c>
    </row>
    <row r="811" customFormat="false" ht="16.5" hidden="false" customHeight="true" outlineLevel="0" collapsed="false">
      <c r="E811" s="1" t="n">
        <f aca="false">$E$13-($F$13-F811)*7</f>
        <v>40628</v>
      </c>
      <c r="F811" s="12" t="n">
        <v>434</v>
      </c>
      <c r="G811" s="16" t="n">
        <v>3</v>
      </c>
      <c r="H811" s="17" t="n">
        <v>13</v>
      </c>
      <c r="I811" s="18" t="n">
        <v>20</v>
      </c>
      <c r="J811" s="19" t="n">
        <v>24</v>
      </c>
      <c r="K811" s="20" t="n">
        <v>33</v>
      </c>
      <c r="L811" s="21" t="n">
        <v>37</v>
      </c>
      <c r="M811" s="22" t="n">
        <v>35</v>
      </c>
      <c r="N811" s="15" t="n">
        <f aca="false">SUMPRODUCT(COUNTIF(G811:L811,번호조회!$B$4:$B$9))</f>
        <v>0</v>
      </c>
    </row>
    <row r="812" customFormat="false" ht="16.5" hidden="false" customHeight="true" outlineLevel="0" collapsed="false">
      <c r="E812" s="1" t="n">
        <f aca="false">$E$13-($F$13-F812)*7</f>
        <v>40621</v>
      </c>
      <c r="F812" s="12" t="n">
        <v>433</v>
      </c>
      <c r="G812" s="16" t="n">
        <v>19</v>
      </c>
      <c r="H812" s="17" t="n">
        <v>23</v>
      </c>
      <c r="I812" s="18" t="n">
        <v>29</v>
      </c>
      <c r="J812" s="19" t="n">
        <v>33</v>
      </c>
      <c r="K812" s="20" t="n">
        <v>35</v>
      </c>
      <c r="L812" s="21" t="n">
        <v>43</v>
      </c>
      <c r="M812" s="22" t="n">
        <v>27</v>
      </c>
      <c r="N812" s="15" t="n">
        <f aca="false">SUMPRODUCT(COUNTIF(G812:L812,번호조회!$B$4:$B$9))</f>
        <v>0</v>
      </c>
    </row>
    <row r="813" customFormat="false" ht="16.5" hidden="false" customHeight="true" outlineLevel="0" collapsed="false">
      <c r="E813" s="1" t="n">
        <f aca="false">$E$13-($F$13-F813)*7</f>
        <v>40614</v>
      </c>
      <c r="F813" s="12" t="n">
        <v>432</v>
      </c>
      <c r="G813" s="16" t="n">
        <v>2</v>
      </c>
      <c r="H813" s="17" t="n">
        <v>3</v>
      </c>
      <c r="I813" s="18" t="n">
        <v>5</v>
      </c>
      <c r="J813" s="19" t="n">
        <v>11</v>
      </c>
      <c r="K813" s="20" t="n">
        <v>27</v>
      </c>
      <c r="L813" s="21" t="n">
        <v>39</v>
      </c>
      <c r="M813" s="22" t="n">
        <v>33</v>
      </c>
      <c r="N813" s="15" t="n">
        <f aca="false">SUMPRODUCT(COUNTIF(G813:L813,번호조회!$B$4:$B$9))</f>
        <v>0</v>
      </c>
    </row>
    <row r="814" customFormat="false" ht="16.5" hidden="false" customHeight="true" outlineLevel="0" collapsed="false">
      <c r="E814" s="1" t="n">
        <f aca="false">$E$13-($F$13-F814)*7</f>
        <v>40607</v>
      </c>
      <c r="F814" s="12" t="n">
        <v>431</v>
      </c>
      <c r="G814" s="16" t="n">
        <v>18</v>
      </c>
      <c r="H814" s="17" t="n">
        <v>22</v>
      </c>
      <c r="I814" s="18" t="n">
        <v>25</v>
      </c>
      <c r="J814" s="19" t="n">
        <v>31</v>
      </c>
      <c r="K814" s="20" t="n">
        <v>38</v>
      </c>
      <c r="L814" s="21" t="n">
        <v>45</v>
      </c>
      <c r="M814" s="22" t="n">
        <v>6</v>
      </c>
      <c r="N814" s="15" t="n">
        <f aca="false">SUMPRODUCT(COUNTIF(G814:L814,번호조회!$B$4:$B$9))</f>
        <v>0</v>
      </c>
    </row>
    <row r="815" customFormat="false" ht="16.5" hidden="false" customHeight="true" outlineLevel="0" collapsed="false">
      <c r="E815" s="1" t="n">
        <f aca="false">$E$13-($F$13-F815)*7</f>
        <v>40600</v>
      </c>
      <c r="F815" s="12" t="n">
        <v>430</v>
      </c>
      <c r="G815" s="16" t="n">
        <v>1</v>
      </c>
      <c r="H815" s="17" t="n">
        <v>3</v>
      </c>
      <c r="I815" s="18" t="n">
        <v>16</v>
      </c>
      <c r="J815" s="19" t="n">
        <v>18</v>
      </c>
      <c r="K815" s="20" t="n">
        <v>30</v>
      </c>
      <c r="L815" s="21" t="n">
        <v>34</v>
      </c>
      <c r="M815" s="22" t="n">
        <v>44</v>
      </c>
      <c r="N815" s="15" t="n">
        <f aca="false">SUMPRODUCT(COUNTIF(G815:L815,번호조회!$B$4:$B$9))</f>
        <v>0</v>
      </c>
    </row>
    <row r="816" customFormat="false" ht="16.5" hidden="false" customHeight="true" outlineLevel="0" collapsed="false">
      <c r="E816" s="1" t="n">
        <f aca="false">$E$13-($F$13-F816)*7</f>
        <v>40593</v>
      </c>
      <c r="F816" s="12" t="n">
        <v>429</v>
      </c>
      <c r="G816" s="16" t="n">
        <v>3</v>
      </c>
      <c r="H816" s="17" t="n">
        <v>23</v>
      </c>
      <c r="I816" s="18" t="n">
        <v>28</v>
      </c>
      <c r="J816" s="19" t="n">
        <v>34</v>
      </c>
      <c r="K816" s="20" t="n">
        <v>39</v>
      </c>
      <c r="L816" s="21" t="n">
        <v>42</v>
      </c>
      <c r="M816" s="22" t="n">
        <v>16</v>
      </c>
      <c r="N816" s="15" t="n">
        <f aca="false">SUMPRODUCT(COUNTIF(G816:L816,번호조회!$B$4:$B$9))</f>
        <v>0</v>
      </c>
    </row>
    <row r="817" customFormat="false" ht="16.5" hidden="false" customHeight="true" outlineLevel="0" collapsed="false">
      <c r="E817" s="1" t="n">
        <f aca="false">$E$13-($F$13-F817)*7</f>
        <v>40586</v>
      </c>
      <c r="F817" s="12" t="n">
        <v>428</v>
      </c>
      <c r="G817" s="16" t="n">
        <v>12</v>
      </c>
      <c r="H817" s="17" t="n">
        <v>16</v>
      </c>
      <c r="I817" s="18" t="n">
        <v>19</v>
      </c>
      <c r="J817" s="19" t="n">
        <v>22</v>
      </c>
      <c r="K817" s="20" t="n">
        <v>37</v>
      </c>
      <c r="L817" s="21" t="n">
        <v>40</v>
      </c>
      <c r="M817" s="22" t="n">
        <v>8</v>
      </c>
      <c r="N817" s="15" t="n">
        <f aca="false">SUMPRODUCT(COUNTIF(G817:L817,번호조회!$B$4:$B$9))</f>
        <v>0</v>
      </c>
    </row>
    <row r="818" customFormat="false" ht="16.5" hidden="false" customHeight="true" outlineLevel="0" collapsed="false">
      <c r="E818" s="1" t="n">
        <f aca="false">$E$13-($F$13-F818)*7</f>
        <v>40579</v>
      </c>
      <c r="F818" s="12" t="n">
        <v>427</v>
      </c>
      <c r="G818" s="16" t="n">
        <v>6</v>
      </c>
      <c r="H818" s="17" t="n">
        <v>7</v>
      </c>
      <c r="I818" s="18" t="n">
        <v>15</v>
      </c>
      <c r="J818" s="19" t="n">
        <v>24</v>
      </c>
      <c r="K818" s="20" t="n">
        <v>28</v>
      </c>
      <c r="L818" s="21" t="n">
        <v>30</v>
      </c>
      <c r="M818" s="22" t="n">
        <v>21</v>
      </c>
      <c r="N818" s="15" t="n">
        <f aca="false">SUMPRODUCT(COUNTIF(G818:L818,번호조회!$B$4:$B$9))</f>
        <v>0</v>
      </c>
    </row>
    <row r="819" customFormat="false" ht="16.5" hidden="false" customHeight="true" outlineLevel="0" collapsed="false">
      <c r="E819" s="1" t="n">
        <f aca="false">$E$13-($F$13-F819)*7</f>
        <v>40572</v>
      </c>
      <c r="F819" s="12" t="n">
        <v>426</v>
      </c>
      <c r="G819" s="16" t="n">
        <v>4</v>
      </c>
      <c r="H819" s="17" t="n">
        <v>17</v>
      </c>
      <c r="I819" s="18" t="n">
        <v>18</v>
      </c>
      <c r="J819" s="19" t="n">
        <v>27</v>
      </c>
      <c r="K819" s="20" t="n">
        <v>39</v>
      </c>
      <c r="L819" s="21" t="n">
        <v>43</v>
      </c>
      <c r="M819" s="22" t="n">
        <v>19</v>
      </c>
      <c r="N819" s="15" t="n">
        <f aca="false">SUMPRODUCT(COUNTIF(G819:L819,번호조회!$B$4:$B$9))</f>
        <v>0</v>
      </c>
    </row>
    <row r="820" customFormat="false" ht="16.5" hidden="false" customHeight="true" outlineLevel="0" collapsed="false">
      <c r="E820" s="1" t="n">
        <f aca="false">$E$13-($F$13-F820)*7</f>
        <v>40565</v>
      </c>
      <c r="F820" s="12" t="n">
        <v>425</v>
      </c>
      <c r="G820" s="16" t="n">
        <v>8</v>
      </c>
      <c r="H820" s="17" t="n">
        <v>10</v>
      </c>
      <c r="I820" s="18" t="n">
        <v>14</v>
      </c>
      <c r="J820" s="19" t="n">
        <v>27</v>
      </c>
      <c r="K820" s="20" t="n">
        <v>33</v>
      </c>
      <c r="L820" s="21" t="n">
        <v>38</v>
      </c>
      <c r="M820" s="22" t="n">
        <v>3</v>
      </c>
      <c r="N820" s="15" t="n">
        <f aca="false">SUMPRODUCT(COUNTIF(G820:L820,번호조회!$B$4:$B$9))</f>
        <v>0</v>
      </c>
    </row>
    <row r="821" customFormat="false" ht="16.5" hidden="false" customHeight="true" outlineLevel="0" collapsed="false">
      <c r="E821" s="1" t="n">
        <f aca="false">$E$13-($F$13-F821)*7</f>
        <v>40558</v>
      </c>
      <c r="F821" s="12" t="n">
        <v>424</v>
      </c>
      <c r="G821" s="16" t="n">
        <v>10</v>
      </c>
      <c r="H821" s="17" t="n">
        <v>11</v>
      </c>
      <c r="I821" s="18" t="n">
        <v>26</v>
      </c>
      <c r="J821" s="19" t="n">
        <v>31</v>
      </c>
      <c r="K821" s="20" t="n">
        <v>34</v>
      </c>
      <c r="L821" s="21" t="n">
        <v>44</v>
      </c>
      <c r="M821" s="22" t="n">
        <v>30</v>
      </c>
      <c r="N821" s="15" t="n">
        <f aca="false">SUMPRODUCT(COUNTIF(G821:L821,번호조회!$B$4:$B$9))</f>
        <v>0</v>
      </c>
    </row>
    <row r="822" customFormat="false" ht="16.5" hidden="false" customHeight="true" outlineLevel="0" collapsed="false">
      <c r="E822" s="1" t="n">
        <f aca="false">$E$13-($F$13-F822)*7</f>
        <v>40551</v>
      </c>
      <c r="F822" s="12" t="n">
        <v>423</v>
      </c>
      <c r="G822" s="16" t="n">
        <v>1</v>
      </c>
      <c r="H822" s="17" t="n">
        <v>17</v>
      </c>
      <c r="I822" s="18" t="n">
        <v>27</v>
      </c>
      <c r="J822" s="19" t="n">
        <v>28</v>
      </c>
      <c r="K822" s="20" t="n">
        <v>29</v>
      </c>
      <c r="L822" s="21" t="n">
        <v>40</v>
      </c>
      <c r="M822" s="22" t="n">
        <v>5</v>
      </c>
      <c r="N822" s="15" t="n">
        <f aca="false">SUMPRODUCT(COUNTIF(G822:L822,번호조회!$B$4:$B$9))</f>
        <v>0</v>
      </c>
    </row>
    <row r="823" customFormat="false" ht="16.5" hidden="false" customHeight="true" outlineLevel="0" collapsed="false">
      <c r="E823" s="1" t="n">
        <f aca="false">$E$13-($F$13-F823)*7</f>
        <v>40544</v>
      </c>
      <c r="F823" s="12" t="n">
        <v>422</v>
      </c>
      <c r="G823" s="16" t="n">
        <v>8</v>
      </c>
      <c r="H823" s="17" t="n">
        <v>15</v>
      </c>
      <c r="I823" s="18" t="n">
        <v>19</v>
      </c>
      <c r="J823" s="19" t="n">
        <v>21</v>
      </c>
      <c r="K823" s="20" t="n">
        <v>34</v>
      </c>
      <c r="L823" s="21" t="n">
        <v>44</v>
      </c>
      <c r="M823" s="22" t="n">
        <v>12</v>
      </c>
      <c r="N823" s="15" t="n">
        <f aca="false">SUMPRODUCT(COUNTIF(G823:L823,번호조회!$B$4:$B$9))</f>
        <v>0</v>
      </c>
    </row>
    <row r="824" customFormat="false" ht="16.5" hidden="false" customHeight="true" outlineLevel="0" collapsed="false">
      <c r="E824" s="1" t="n">
        <f aca="false">$E$13-($F$13-F824)*7</f>
        <v>40537</v>
      </c>
      <c r="F824" s="12" t="n">
        <v>421</v>
      </c>
      <c r="G824" s="16" t="n">
        <v>6</v>
      </c>
      <c r="H824" s="17" t="n">
        <v>11</v>
      </c>
      <c r="I824" s="18" t="n">
        <v>26</v>
      </c>
      <c r="J824" s="19" t="n">
        <v>27</v>
      </c>
      <c r="K824" s="20" t="n">
        <v>28</v>
      </c>
      <c r="L824" s="21" t="n">
        <v>44</v>
      </c>
      <c r="M824" s="22" t="n">
        <v>30</v>
      </c>
      <c r="N824" s="15" t="n">
        <f aca="false">SUMPRODUCT(COUNTIF(G824:L824,번호조회!$B$4:$B$9))</f>
        <v>0</v>
      </c>
    </row>
    <row r="825" customFormat="false" ht="16.5" hidden="false" customHeight="true" outlineLevel="0" collapsed="false">
      <c r="E825" s="1" t="n">
        <f aca="false">$E$13-($F$13-F825)*7</f>
        <v>40530</v>
      </c>
      <c r="F825" s="12" t="n">
        <v>420</v>
      </c>
      <c r="G825" s="16" t="n">
        <v>4</v>
      </c>
      <c r="H825" s="17" t="n">
        <v>9</v>
      </c>
      <c r="I825" s="18" t="n">
        <v>10</v>
      </c>
      <c r="J825" s="19" t="n">
        <v>29</v>
      </c>
      <c r="K825" s="20" t="n">
        <v>31</v>
      </c>
      <c r="L825" s="21" t="n">
        <v>34</v>
      </c>
      <c r="M825" s="22" t="n">
        <v>27</v>
      </c>
      <c r="N825" s="15" t="n">
        <f aca="false">SUMPRODUCT(COUNTIF(G825:L825,번호조회!$B$4:$B$9))</f>
        <v>0</v>
      </c>
    </row>
    <row r="826" customFormat="false" ht="16.5" hidden="false" customHeight="true" outlineLevel="0" collapsed="false">
      <c r="E826" s="1" t="n">
        <f aca="false">$E$13-($F$13-F826)*7</f>
        <v>40523</v>
      </c>
      <c r="F826" s="12" t="n">
        <v>419</v>
      </c>
      <c r="G826" s="16" t="n">
        <v>2</v>
      </c>
      <c r="H826" s="17" t="n">
        <v>11</v>
      </c>
      <c r="I826" s="18" t="n">
        <v>13</v>
      </c>
      <c r="J826" s="19" t="n">
        <v>14</v>
      </c>
      <c r="K826" s="20" t="n">
        <v>28</v>
      </c>
      <c r="L826" s="21" t="n">
        <v>30</v>
      </c>
      <c r="M826" s="22" t="n">
        <v>7</v>
      </c>
      <c r="N826" s="15" t="n">
        <f aca="false">SUMPRODUCT(COUNTIF(G826:L826,번호조회!$B$4:$B$9))</f>
        <v>0</v>
      </c>
    </row>
    <row r="827" customFormat="false" ht="16.5" hidden="false" customHeight="true" outlineLevel="0" collapsed="false">
      <c r="E827" s="1" t="n">
        <f aca="false">$E$13-($F$13-F827)*7</f>
        <v>40516</v>
      </c>
      <c r="F827" s="12" t="n">
        <v>418</v>
      </c>
      <c r="G827" s="16" t="n">
        <v>11</v>
      </c>
      <c r="H827" s="17" t="n">
        <v>13</v>
      </c>
      <c r="I827" s="18" t="n">
        <v>15</v>
      </c>
      <c r="J827" s="19" t="n">
        <v>26</v>
      </c>
      <c r="K827" s="20" t="n">
        <v>28</v>
      </c>
      <c r="L827" s="21" t="n">
        <v>34</v>
      </c>
      <c r="M827" s="22" t="n">
        <v>31</v>
      </c>
      <c r="N827" s="15" t="n">
        <f aca="false">SUMPRODUCT(COUNTIF(G827:L827,번호조회!$B$4:$B$9))</f>
        <v>0</v>
      </c>
    </row>
    <row r="828" customFormat="false" ht="16.5" hidden="false" customHeight="true" outlineLevel="0" collapsed="false">
      <c r="E828" s="1" t="n">
        <f aca="false">$E$13-($F$13-F828)*7</f>
        <v>40509</v>
      </c>
      <c r="F828" s="12" t="n">
        <v>417</v>
      </c>
      <c r="G828" s="16" t="n">
        <v>4</v>
      </c>
      <c r="H828" s="17" t="n">
        <v>5</v>
      </c>
      <c r="I828" s="18" t="n">
        <v>14</v>
      </c>
      <c r="J828" s="19" t="n">
        <v>20</v>
      </c>
      <c r="K828" s="20" t="n">
        <v>22</v>
      </c>
      <c r="L828" s="21" t="n">
        <v>43</v>
      </c>
      <c r="M828" s="22" t="n">
        <v>44</v>
      </c>
      <c r="N828" s="15" t="n">
        <f aca="false">SUMPRODUCT(COUNTIF(G828:L828,번호조회!$B$4:$B$9))</f>
        <v>0</v>
      </c>
    </row>
    <row r="829" customFormat="false" ht="16.5" hidden="false" customHeight="true" outlineLevel="0" collapsed="false">
      <c r="E829" s="1" t="n">
        <f aca="false">$E$13-($F$13-F829)*7</f>
        <v>40502</v>
      </c>
      <c r="F829" s="12" t="n">
        <v>416</v>
      </c>
      <c r="G829" s="16" t="n">
        <v>5</v>
      </c>
      <c r="H829" s="17" t="n">
        <v>6</v>
      </c>
      <c r="I829" s="18" t="n">
        <v>8</v>
      </c>
      <c r="J829" s="19" t="n">
        <v>11</v>
      </c>
      <c r="K829" s="20" t="n">
        <v>22</v>
      </c>
      <c r="L829" s="21" t="n">
        <v>26</v>
      </c>
      <c r="M829" s="22" t="n">
        <v>44</v>
      </c>
      <c r="N829" s="15" t="n">
        <f aca="false">SUMPRODUCT(COUNTIF(G829:L829,번호조회!$B$4:$B$9))</f>
        <v>0</v>
      </c>
    </row>
    <row r="830" customFormat="false" ht="16.5" hidden="false" customHeight="true" outlineLevel="0" collapsed="false">
      <c r="E830" s="1" t="n">
        <f aca="false">$E$13-($F$13-F830)*7</f>
        <v>40495</v>
      </c>
      <c r="F830" s="12" t="n">
        <v>415</v>
      </c>
      <c r="G830" s="16" t="n">
        <v>7</v>
      </c>
      <c r="H830" s="17" t="n">
        <v>17</v>
      </c>
      <c r="I830" s="18" t="n">
        <v>20</v>
      </c>
      <c r="J830" s="19" t="n">
        <v>26</v>
      </c>
      <c r="K830" s="20" t="n">
        <v>30</v>
      </c>
      <c r="L830" s="21" t="n">
        <v>40</v>
      </c>
      <c r="M830" s="22" t="n">
        <v>24</v>
      </c>
      <c r="N830" s="15" t="n">
        <f aca="false">SUMPRODUCT(COUNTIF(G830:L830,번호조회!$B$4:$B$9))</f>
        <v>0</v>
      </c>
    </row>
    <row r="831" customFormat="false" ht="16.5" hidden="false" customHeight="true" outlineLevel="0" collapsed="false">
      <c r="E831" s="1" t="n">
        <f aca="false">$E$13-($F$13-F831)*7</f>
        <v>40488</v>
      </c>
      <c r="F831" s="12" t="n">
        <v>414</v>
      </c>
      <c r="G831" s="16" t="n">
        <v>2</v>
      </c>
      <c r="H831" s="17" t="n">
        <v>14</v>
      </c>
      <c r="I831" s="18" t="n">
        <v>15</v>
      </c>
      <c r="J831" s="19" t="n">
        <v>22</v>
      </c>
      <c r="K831" s="20" t="n">
        <v>23</v>
      </c>
      <c r="L831" s="21" t="n">
        <v>44</v>
      </c>
      <c r="M831" s="22" t="n">
        <v>43</v>
      </c>
      <c r="N831" s="15" t="n">
        <f aca="false">SUMPRODUCT(COUNTIF(G831:L831,번호조회!$B$4:$B$9))</f>
        <v>0</v>
      </c>
    </row>
    <row r="832" customFormat="false" ht="16.5" hidden="false" customHeight="true" outlineLevel="0" collapsed="false">
      <c r="E832" s="1" t="n">
        <f aca="false">$E$13-($F$13-F832)*7</f>
        <v>40481</v>
      </c>
      <c r="F832" s="12" t="n">
        <v>413</v>
      </c>
      <c r="G832" s="16" t="n">
        <v>2</v>
      </c>
      <c r="H832" s="17" t="n">
        <v>9</v>
      </c>
      <c r="I832" s="18" t="n">
        <v>15</v>
      </c>
      <c r="J832" s="19" t="n">
        <v>23</v>
      </c>
      <c r="K832" s="20" t="n">
        <v>34</v>
      </c>
      <c r="L832" s="21" t="n">
        <v>40</v>
      </c>
      <c r="M832" s="22" t="n">
        <v>3</v>
      </c>
      <c r="N832" s="15" t="n">
        <f aca="false">SUMPRODUCT(COUNTIF(G832:L832,번호조회!$B$4:$B$9))</f>
        <v>0</v>
      </c>
    </row>
    <row r="833" customFormat="false" ht="16.5" hidden="false" customHeight="true" outlineLevel="0" collapsed="false">
      <c r="E833" s="1" t="n">
        <f aca="false">$E$13-($F$13-F833)*7</f>
        <v>40474</v>
      </c>
      <c r="F833" s="12" t="n">
        <v>412</v>
      </c>
      <c r="G833" s="16" t="n">
        <v>4</v>
      </c>
      <c r="H833" s="17" t="n">
        <v>7</v>
      </c>
      <c r="I833" s="18" t="n">
        <v>39</v>
      </c>
      <c r="J833" s="19" t="n">
        <v>41</v>
      </c>
      <c r="K833" s="20" t="n">
        <v>42</v>
      </c>
      <c r="L833" s="21" t="n">
        <v>45</v>
      </c>
      <c r="M833" s="22" t="n">
        <v>40</v>
      </c>
      <c r="N833" s="15" t="n">
        <f aca="false">SUMPRODUCT(COUNTIF(G833:L833,번호조회!$B$4:$B$9))</f>
        <v>0</v>
      </c>
    </row>
    <row r="834" customFormat="false" ht="16.5" hidden="false" customHeight="true" outlineLevel="0" collapsed="false">
      <c r="E834" s="1" t="n">
        <f aca="false">$E$13-($F$13-F834)*7</f>
        <v>40467</v>
      </c>
      <c r="F834" s="12" t="n">
        <v>411</v>
      </c>
      <c r="G834" s="16" t="n">
        <v>11</v>
      </c>
      <c r="H834" s="17" t="n">
        <v>14</v>
      </c>
      <c r="I834" s="18" t="n">
        <v>22</v>
      </c>
      <c r="J834" s="19" t="n">
        <v>35</v>
      </c>
      <c r="K834" s="20" t="n">
        <v>37</v>
      </c>
      <c r="L834" s="21" t="n">
        <v>39</v>
      </c>
      <c r="M834" s="22" t="n">
        <v>5</v>
      </c>
      <c r="N834" s="15" t="n">
        <f aca="false">SUMPRODUCT(COUNTIF(G834:L834,번호조회!$B$4:$B$9))</f>
        <v>0</v>
      </c>
    </row>
    <row r="835" customFormat="false" ht="16.5" hidden="false" customHeight="true" outlineLevel="0" collapsed="false">
      <c r="E835" s="1" t="n">
        <f aca="false">$E$13-($F$13-F835)*7</f>
        <v>40460</v>
      </c>
      <c r="F835" s="12" t="n">
        <v>410</v>
      </c>
      <c r="G835" s="16" t="n">
        <v>1</v>
      </c>
      <c r="H835" s="17" t="n">
        <v>3</v>
      </c>
      <c r="I835" s="18" t="n">
        <v>18</v>
      </c>
      <c r="J835" s="19" t="n">
        <v>32</v>
      </c>
      <c r="K835" s="20" t="n">
        <v>40</v>
      </c>
      <c r="L835" s="21" t="n">
        <v>41</v>
      </c>
      <c r="M835" s="22" t="n">
        <v>16</v>
      </c>
      <c r="N835" s="15" t="n">
        <f aca="false">SUMPRODUCT(COUNTIF(G835:L835,번호조회!$B$4:$B$9))</f>
        <v>0</v>
      </c>
    </row>
    <row r="836" customFormat="false" ht="16.5" hidden="false" customHeight="true" outlineLevel="0" collapsed="false">
      <c r="E836" s="1" t="n">
        <f aca="false">$E$13-($F$13-F836)*7</f>
        <v>40453</v>
      </c>
      <c r="F836" s="12" t="n">
        <v>409</v>
      </c>
      <c r="G836" s="16" t="n">
        <v>6</v>
      </c>
      <c r="H836" s="17" t="n">
        <v>9</v>
      </c>
      <c r="I836" s="18" t="n">
        <v>21</v>
      </c>
      <c r="J836" s="19" t="n">
        <v>31</v>
      </c>
      <c r="K836" s="20" t="n">
        <v>32</v>
      </c>
      <c r="L836" s="21" t="n">
        <v>40</v>
      </c>
      <c r="M836" s="22" t="n">
        <v>38</v>
      </c>
      <c r="N836" s="15" t="n">
        <f aca="false">SUMPRODUCT(COUNTIF(G836:L836,번호조회!$B$4:$B$9))</f>
        <v>0</v>
      </c>
    </row>
    <row r="837" customFormat="false" ht="16.5" hidden="false" customHeight="true" outlineLevel="0" collapsed="false">
      <c r="E837" s="1" t="n">
        <f aca="false">$E$13-($F$13-F837)*7</f>
        <v>40446</v>
      </c>
      <c r="F837" s="12" t="n">
        <v>408</v>
      </c>
      <c r="G837" s="16" t="n">
        <v>9</v>
      </c>
      <c r="H837" s="17" t="n">
        <v>20</v>
      </c>
      <c r="I837" s="18" t="n">
        <v>21</v>
      </c>
      <c r="J837" s="19" t="n">
        <v>22</v>
      </c>
      <c r="K837" s="20" t="n">
        <v>30</v>
      </c>
      <c r="L837" s="21" t="n">
        <v>37</v>
      </c>
      <c r="M837" s="22" t="n">
        <v>16</v>
      </c>
      <c r="N837" s="15" t="n">
        <f aca="false">SUMPRODUCT(COUNTIF(G837:L837,번호조회!$B$4:$B$9))</f>
        <v>0</v>
      </c>
    </row>
    <row r="838" customFormat="false" ht="16.5" hidden="false" customHeight="true" outlineLevel="0" collapsed="false">
      <c r="E838" s="1" t="n">
        <f aca="false">$E$13-($F$13-F838)*7</f>
        <v>40439</v>
      </c>
      <c r="F838" s="12" t="n">
        <v>407</v>
      </c>
      <c r="G838" s="16" t="n">
        <v>6</v>
      </c>
      <c r="H838" s="17" t="n">
        <v>7</v>
      </c>
      <c r="I838" s="18" t="n">
        <v>13</v>
      </c>
      <c r="J838" s="19" t="n">
        <v>16</v>
      </c>
      <c r="K838" s="20" t="n">
        <v>24</v>
      </c>
      <c r="L838" s="21" t="n">
        <v>25</v>
      </c>
      <c r="M838" s="22" t="n">
        <v>1</v>
      </c>
      <c r="N838" s="15" t="n">
        <f aca="false">SUMPRODUCT(COUNTIF(G838:L838,번호조회!$B$4:$B$9))</f>
        <v>0</v>
      </c>
    </row>
    <row r="839" customFormat="false" ht="16.5" hidden="false" customHeight="true" outlineLevel="0" collapsed="false">
      <c r="E839" s="1" t="n">
        <f aca="false">$E$13-($F$13-F839)*7</f>
        <v>40432</v>
      </c>
      <c r="F839" s="12" t="n">
        <v>406</v>
      </c>
      <c r="G839" s="16" t="n">
        <v>7</v>
      </c>
      <c r="H839" s="17" t="n">
        <v>12</v>
      </c>
      <c r="I839" s="18" t="n">
        <v>21</v>
      </c>
      <c r="J839" s="19" t="n">
        <v>24</v>
      </c>
      <c r="K839" s="20" t="n">
        <v>27</v>
      </c>
      <c r="L839" s="21" t="n">
        <v>36</v>
      </c>
      <c r="M839" s="22" t="n">
        <v>45</v>
      </c>
      <c r="N839" s="15" t="n">
        <f aca="false">SUMPRODUCT(COUNTIF(G839:L839,번호조회!$B$4:$B$9))</f>
        <v>0</v>
      </c>
    </row>
    <row r="840" customFormat="false" ht="16.5" hidden="false" customHeight="true" outlineLevel="0" collapsed="false">
      <c r="E840" s="1" t="n">
        <f aca="false">$E$13-($F$13-F840)*7</f>
        <v>40425</v>
      </c>
      <c r="F840" s="12" t="n">
        <v>405</v>
      </c>
      <c r="G840" s="16" t="n">
        <v>1</v>
      </c>
      <c r="H840" s="17" t="n">
        <v>2</v>
      </c>
      <c r="I840" s="18" t="n">
        <v>10</v>
      </c>
      <c r="J840" s="19" t="n">
        <v>25</v>
      </c>
      <c r="K840" s="20" t="n">
        <v>26</v>
      </c>
      <c r="L840" s="21" t="n">
        <v>44</v>
      </c>
      <c r="M840" s="22" t="n">
        <v>4</v>
      </c>
      <c r="N840" s="15" t="n">
        <f aca="false">SUMPRODUCT(COUNTIF(G840:L840,번호조회!$B$4:$B$9))</f>
        <v>0</v>
      </c>
    </row>
    <row r="841" customFormat="false" ht="16.5" hidden="false" customHeight="true" outlineLevel="0" collapsed="false">
      <c r="E841" s="1" t="n">
        <f aca="false">$E$13-($F$13-F841)*7</f>
        <v>40418</v>
      </c>
      <c r="F841" s="12" t="n">
        <v>404</v>
      </c>
      <c r="G841" s="16" t="n">
        <v>5</v>
      </c>
      <c r="H841" s="17" t="n">
        <v>20</v>
      </c>
      <c r="I841" s="18" t="n">
        <v>21</v>
      </c>
      <c r="J841" s="19" t="n">
        <v>24</v>
      </c>
      <c r="K841" s="20" t="n">
        <v>33</v>
      </c>
      <c r="L841" s="21" t="n">
        <v>40</v>
      </c>
      <c r="M841" s="22" t="n">
        <v>36</v>
      </c>
      <c r="N841" s="15" t="n">
        <f aca="false">SUMPRODUCT(COUNTIF(G841:L841,번호조회!$B$4:$B$9))</f>
        <v>0</v>
      </c>
    </row>
    <row r="842" customFormat="false" ht="16.5" hidden="false" customHeight="true" outlineLevel="0" collapsed="false">
      <c r="E842" s="1" t="n">
        <f aca="false">$E$13-($F$13-F842)*7</f>
        <v>40411</v>
      </c>
      <c r="F842" s="12" t="n">
        <v>403</v>
      </c>
      <c r="G842" s="16" t="n">
        <v>10</v>
      </c>
      <c r="H842" s="17" t="n">
        <v>14</v>
      </c>
      <c r="I842" s="18" t="n">
        <v>22</v>
      </c>
      <c r="J842" s="19" t="n">
        <v>24</v>
      </c>
      <c r="K842" s="20" t="n">
        <v>28</v>
      </c>
      <c r="L842" s="21" t="n">
        <v>37</v>
      </c>
      <c r="M842" s="22" t="n">
        <v>26</v>
      </c>
      <c r="N842" s="15" t="n">
        <f aca="false">SUMPRODUCT(COUNTIF(G842:L842,번호조회!$B$4:$B$9))</f>
        <v>0</v>
      </c>
    </row>
    <row r="843" customFormat="false" ht="16.5" hidden="false" customHeight="true" outlineLevel="0" collapsed="false">
      <c r="E843" s="1" t="n">
        <f aca="false">$E$13-($F$13-F843)*7</f>
        <v>40404</v>
      </c>
      <c r="F843" s="12" t="n">
        <v>402</v>
      </c>
      <c r="G843" s="16" t="n">
        <v>5</v>
      </c>
      <c r="H843" s="17" t="n">
        <v>9</v>
      </c>
      <c r="I843" s="18" t="n">
        <v>15</v>
      </c>
      <c r="J843" s="19" t="n">
        <v>19</v>
      </c>
      <c r="K843" s="20" t="n">
        <v>22</v>
      </c>
      <c r="L843" s="21" t="n">
        <v>36</v>
      </c>
      <c r="M843" s="22" t="n">
        <v>32</v>
      </c>
      <c r="N843" s="15" t="n">
        <f aca="false">SUMPRODUCT(COUNTIF(G843:L843,번호조회!$B$4:$B$9))</f>
        <v>0</v>
      </c>
    </row>
    <row r="844" customFormat="false" ht="16.5" hidden="false" customHeight="true" outlineLevel="0" collapsed="false">
      <c r="E844" s="1" t="n">
        <f aca="false">$E$13-($F$13-F844)*7</f>
        <v>40397</v>
      </c>
      <c r="F844" s="12" t="n">
        <v>401</v>
      </c>
      <c r="G844" s="16" t="n">
        <v>6</v>
      </c>
      <c r="H844" s="17" t="n">
        <v>12</v>
      </c>
      <c r="I844" s="18" t="n">
        <v>18</v>
      </c>
      <c r="J844" s="19" t="n">
        <v>31</v>
      </c>
      <c r="K844" s="20" t="n">
        <v>38</v>
      </c>
      <c r="L844" s="21" t="n">
        <v>43</v>
      </c>
      <c r="M844" s="22" t="n">
        <v>9</v>
      </c>
      <c r="N844" s="15" t="n">
        <f aca="false">SUMPRODUCT(COUNTIF(G844:L844,번호조회!$B$4:$B$9))</f>
        <v>0</v>
      </c>
    </row>
    <row r="845" customFormat="false" ht="16.5" hidden="false" customHeight="true" outlineLevel="0" collapsed="false">
      <c r="E845" s="1" t="n">
        <f aca="false">$E$13-($F$13-F845)*7</f>
        <v>40390</v>
      </c>
      <c r="F845" s="12" t="n">
        <v>400</v>
      </c>
      <c r="G845" s="16" t="n">
        <v>9</v>
      </c>
      <c r="H845" s="17" t="n">
        <v>21</v>
      </c>
      <c r="I845" s="18" t="n">
        <v>27</v>
      </c>
      <c r="J845" s="19" t="n">
        <v>34</v>
      </c>
      <c r="K845" s="20" t="n">
        <v>41</v>
      </c>
      <c r="L845" s="21" t="n">
        <v>43</v>
      </c>
      <c r="M845" s="22" t="n">
        <v>2</v>
      </c>
      <c r="N845" s="15" t="n">
        <f aca="false">SUMPRODUCT(COUNTIF(G845:L845,번호조회!$B$4:$B$9))</f>
        <v>0</v>
      </c>
    </row>
    <row r="846" customFormat="false" ht="16.5" hidden="false" customHeight="true" outlineLevel="0" collapsed="false">
      <c r="E846" s="1" t="n">
        <f aca="false">$E$13-($F$13-F846)*7</f>
        <v>40383</v>
      </c>
      <c r="F846" s="12" t="n">
        <v>399</v>
      </c>
      <c r="G846" s="16" t="n">
        <v>1</v>
      </c>
      <c r="H846" s="17" t="n">
        <v>2</v>
      </c>
      <c r="I846" s="18" t="n">
        <v>9</v>
      </c>
      <c r="J846" s="19" t="n">
        <v>17</v>
      </c>
      <c r="K846" s="20" t="n">
        <v>19</v>
      </c>
      <c r="L846" s="21" t="n">
        <v>42</v>
      </c>
      <c r="M846" s="22" t="n">
        <v>20</v>
      </c>
      <c r="N846" s="15" t="n">
        <f aca="false">SUMPRODUCT(COUNTIF(G846:L846,번호조회!$B$4:$B$9))</f>
        <v>0</v>
      </c>
    </row>
    <row r="847" customFormat="false" ht="16.5" hidden="false" customHeight="true" outlineLevel="0" collapsed="false">
      <c r="E847" s="1" t="n">
        <f aca="false">$E$13-($F$13-F847)*7</f>
        <v>40376</v>
      </c>
      <c r="F847" s="12" t="n">
        <v>398</v>
      </c>
      <c r="G847" s="16" t="n">
        <v>10</v>
      </c>
      <c r="H847" s="17" t="n">
        <v>15</v>
      </c>
      <c r="I847" s="18" t="n">
        <v>20</v>
      </c>
      <c r="J847" s="19" t="n">
        <v>23</v>
      </c>
      <c r="K847" s="20" t="n">
        <v>42</v>
      </c>
      <c r="L847" s="21" t="n">
        <v>44</v>
      </c>
      <c r="M847" s="22" t="n">
        <v>7</v>
      </c>
      <c r="N847" s="15" t="n">
        <f aca="false">SUMPRODUCT(COUNTIF(G847:L847,번호조회!$B$4:$B$9))</f>
        <v>0</v>
      </c>
    </row>
    <row r="848" customFormat="false" ht="16.5" hidden="false" customHeight="true" outlineLevel="0" collapsed="false">
      <c r="E848" s="1" t="n">
        <f aca="false">$E$13-($F$13-F848)*7</f>
        <v>40369</v>
      </c>
      <c r="F848" s="12" t="n">
        <v>397</v>
      </c>
      <c r="G848" s="16" t="n">
        <v>12</v>
      </c>
      <c r="H848" s="17" t="n">
        <v>13</v>
      </c>
      <c r="I848" s="18" t="n">
        <v>17</v>
      </c>
      <c r="J848" s="19" t="n">
        <v>22</v>
      </c>
      <c r="K848" s="20" t="n">
        <v>25</v>
      </c>
      <c r="L848" s="21" t="n">
        <v>33</v>
      </c>
      <c r="M848" s="22" t="n">
        <v>8</v>
      </c>
      <c r="N848" s="15" t="n">
        <f aca="false">SUMPRODUCT(COUNTIF(G848:L848,번호조회!$B$4:$B$9))</f>
        <v>0</v>
      </c>
    </row>
    <row r="849" customFormat="false" ht="16.5" hidden="false" customHeight="true" outlineLevel="0" collapsed="false">
      <c r="E849" s="1" t="n">
        <f aca="false">$E$13-($F$13-F849)*7</f>
        <v>40362</v>
      </c>
      <c r="F849" s="12" t="n">
        <v>396</v>
      </c>
      <c r="G849" s="16" t="n">
        <v>18</v>
      </c>
      <c r="H849" s="17" t="n">
        <v>20</v>
      </c>
      <c r="I849" s="18" t="n">
        <v>31</v>
      </c>
      <c r="J849" s="19" t="n">
        <v>34</v>
      </c>
      <c r="K849" s="20" t="n">
        <v>40</v>
      </c>
      <c r="L849" s="21" t="n">
        <v>45</v>
      </c>
      <c r="M849" s="22" t="n">
        <v>30</v>
      </c>
      <c r="N849" s="15" t="n">
        <f aca="false">SUMPRODUCT(COUNTIF(G849:L849,번호조회!$B$4:$B$9))</f>
        <v>0</v>
      </c>
    </row>
    <row r="850" customFormat="false" ht="16.5" hidden="false" customHeight="true" outlineLevel="0" collapsed="false">
      <c r="E850" s="1" t="n">
        <f aca="false">$E$13-($F$13-F850)*7</f>
        <v>40355</v>
      </c>
      <c r="F850" s="12" t="n">
        <v>395</v>
      </c>
      <c r="G850" s="16" t="n">
        <v>11</v>
      </c>
      <c r="H850" s="17" t="n">
        <v>15</v>
      </c>
      <c r="I850" s="18" t="n">
        <v>20</v>
      </c>
      <c r="J850" s="19" t="n">
        <v>26</v>
      </c>
      <c r="K850" s="20" t="n">
        <v>31</v>
      </c>
      <c r="L850" s="21" t="n">
        <v>35</v>
      </c>
      <c r="M850" s="22" t="n">
        <v>7</v>
      </c>
      <c r="N850" s="15" t="n">
        <f aca="false">SUMPRODUCT(COUNTIF(G850:L850,번호조회!$B$4:$B$9))</f>
        <v>0</v>
      </c>
    </row>
    <row r="851" customFormat="false" ht="16.5" hidden="false" customHeight="true" outlineLevel="0" collapsed="false">
      <c r="E851" s="1" t="n">
        <f aca="false">$E$13-($F$13-F851)*7</f>
        <v>40348</v>
      </c>
      <c r="F851" s="12" t="n">
        <v>394</v>
      </c>
      <c r="G851" s="16" t="n">
        <v>1</v>
      </c>
      <c r="H851" s="17" t="n">
        <v>13</v>
      </c>
      <c r="I851" s="18" t="n">
        <v>20</v>
      </c>
      <c r="J851" s="19" t="n">
        <v>22</v>
      </c>
      <c r="K851" s="20" t="n">
        <v>25</v>
      </c>
      <c r="L851" s="21" t="n">
        <v>28</v>
      </c>
      <c r="M851" s="22" t="n">
        <v>15</v>
      </c>
      <c r="N851" s="15" t="n">
        <f aca="false">SUMPRODUCT(COUNTIF(G851:L851,번호조회!$B$4:$B$9))</f>
        <v>0</v>
      </c>
    </row>
    <row r="852" customFormat="false" ht="16.5" hidden="false" customHeight="true" outlineLevel="0" collapsed="false">
      <c r="E852" s="1" t="n">
        <f aca="false">$E$13-($F$13-F852)*7</f>
        <v>40341</v>
      </c>
      <c r="F852" s="12" t="n">
        <v>393</v>
      </c>
      <c r="G852" s="16" t="n">
        <v>9</v>
      </c>
      <c r="H852" s="17" t="n">
        <v>16</v>
      </c>
      <c r="I852" s="18" t="n">
        <v>28</v>
      </c>
      <c r="J852" s="19" t="n">
        <v>40</v>
      </c>
      <c r="K852" s="20" t="n">
        <v>41</v>
      </c>
      <c r="L852" s="21" t="n">
        <v>43</v>
      </c>
      <c r="M852" s="22" t="n">
        <v>21</v>
      </c>
      <c r="N852" s="15" t="n">
        <f aca="false">SUMPRODUCT(COUNTIF(G852:L852,번호조회!$B$4:$B$9))</f>
        <v>0</v>
      </c>
    </row>
    <row r="853" customFormat="false" ht="16.5" hidden="false" customHeight="true" outlineLevel="0" collapsed="false">
      <c r="E853" s="1" t="n">
        <f aca="false">$E$13-($F$13-F853)*7</f>
        <v>40334</v>
      </c>
      <c r="F853" s="12" t="n">
        <v>392</v>
      </c>
      <c r="G853" s="16" t="n">
        <v>1</v>
      </c>
      <c r="H853" s="17" t="n">
        <v>3</v>
      </c>
      <c r="I853" s="18" t="n">
        <v>7</v>
      </c>
      <c r="J853" s="19" t="n">
        <v>8</v>
      </c>
      <c r="K853" s="20" t="n">
        <v>24</v>
      </c>
      <c r="L853" s="21" t="n">
        <v>42</v>
      </c>
      <c r="M853" s="22" t="n">
        <v>43</v>
      </c>
      <c r="N853" s="15" t="n">
        <f aca="false">SUMPRODUCT(COUNTIF(G853:L853,번호조회!$B$4:$B$9))</f>
        <v>0</v>
      </c>
    </row>
    <row r="854" customFormat="false" ht="16.5" hidden="false" customHeight="true" outlineLevel="0" collapsed="false">
      <c r="E854" s="1" t="n">
        <f aca="false">$E$13-($F$13-F854)*7</f>
        <v>40327</v>
      </c>
      <c r="F854" s="12" t="n">
        <v>391</v>
      </c>
      <c r="G854" s="16" t="n">
        <v>10</v>
      </c>
      <c r="H854" s="17" t="n">
        <v>11</v>
      </c>
      <c r="I854" s="18" t="n">
        <v>18</v>
      </c>
      <c r="J854" s="19" t="n">
        <v>22</v>
      </c>
      <c r="K854" s="20" t="n">
        <v>28</v>
      </c>
      <c r="L854" s="21" t="n">
        <v>39</v>
      </c>
      <c r="M854" s="22" t="n">
        <v>30</v>
      </c>
      <c r="N854" s="15" t="n">
        <f aca="false">SUMPRODUCT(COUNTIF(G854:L854,번호조회!$B$4:$B$9))</f>
        <v>0</v>
      </c>
    </row>
    <row r="855" customFormat="false" ht="16.5" hidden="false" customHeight="true" outlineLevel="0" collapsed="false">
      <c r="E855" s="1" t="n">
        <f aca="false">$E$13-($F$13-F855)*7</f>
        <v>40320</v>
      </c>
      <c r="F855" s="12" t="n">
        <v>390</v>
      </c>
      <c r="G855" s="16" t="n">
        <v>16</v>
      </c>
      <c r="H855" s="17" t="n">
        <v>17</v>
      </c>
      <c r="I855" s="18" t="n">
        <v>28</v>
      </c>
      <c r="J855" s="19" t="n">
        <v>37</v>
      </c>
      <c r="K855" s="20" t="n">
        <v>39</v>
      </c>
      <c r="L855" s="21" t="n">
        <v>40</v>
      </c>
      <c r="M855" s="22" t="n">
        <v>15</v>
      </c>
      <c r="N855" s="15" t="n">
        <f aca="false">SUMPRODUCT(COUNTIF(G855:L855,번호조회!$B$4:$B$9))</f>
        <v>0</v>
      </c>
    </row>
    <row r="856" customFormat="false" ht="16.5" hidden="false" customHeight="true" outlineLevel="0" collapsed="false">
      <c r="E856" s="1" t="n">
        <f aca="false">$E$13-($F$13-F856)*7</f>
        <v>40313</v>
      </c>
      <c r="F856" s="12" t="n">
        <v>389</v>
      </c>
      <c r="G856" s="16" t="n">
        <v>7</v>
      </c>
      <c r="H856" s="17" t="n">
        <v>16</v>
      </c>
      <c r="I856" s="18" t="n">
        <v>18</v>
      </c>
      <c r="J856" s="19" t="n">
        <v>20</v>
      </c>
      <c r="K856" s="20" t="n">
        <v>23</v>
      </c>
      <c r="L856" s="21" t="n">
        <v>26</v>
      </c>
      <c r="M856" s="22" t="n">
        <v>3</v>
      </c>
      <c r="N856" s="15" t="n">
        <f aca="false">SUMPRODUCT(COUNTIF(G856:L856,번호조회!$B$4:$B$9))</f>
        <v>0</v>
      </c>
    </row>
    <row r="857" customFormat="false" ht="16.5" hidden="false" customHeight="true" outlineLevel="0" collapsed="false">
      <c r="E857" s="1" t="n">
        <f aca="false">$E$13-($F$13-F857)*7</f>
        <v>40306</v>
      </c>
      <c r="F857" s="12" t="n">
        <v>388</v>
      </c>
      <c r="G857" s="16" t="n">
        <v>1</v>
      </c>
      <c r="H857" s="17" t="n">
        <v>8</v>
      </c>
      <c r="I857" s="18" t="n">
        <v>9</v>
      </c>
      <c r="J857" s="19" t="n">
        <v>17</v>
      </c>
      <c r="K857" s="20" t="n">
        <v>29</v>
      </c>
      <c r="L857" s="21" t="n">
        <v>32</v>
      </c>
      <c r="M857" s="22" t="n">
        <v>45</v>
      </c>
      <c r="N857" s="15" t="n">
        <f aca="false">SUMPRODUCT(COUNTIF(G857:L857,번호조회!$B$4:$B$9))</f>
        <v>0</v>
      </c>
    </row>
    <row r="858" customFormat="false" ht="16.5" hidden="false" customHeight="true" outlineLevel="0" collapsed="false">
      <c r="E858" s="1" t="n">
        <f aca="false">$E$13-($F$13-F858)*7</f>
        <v>40299</v>
      </c>
      <c r="F858" s="12" t="n">
        <v>387</v>
      </c>
      <c r="G858" s="16" t="n">
        <v>1</v>
      </c>
      <c r="H858" s="17" t="n">
        <v>26</v>
      </c>
      <c r="I858" s="18" t="n">
        <v>31</v>
      </c>
      <c r="J858" s="19" t="n">
        <v>34</v>
      </c>
      <c r="K858" s="20" t="n">
        <v>40</v>
      </c>
      <c r="L858" s="21" t="n">
        <v>43</v>
      </c>
      <c r="M858" s="22" t="n">
        <v>20</v>
      </c>
      <c r="N858" s="15" t="n">
        <f aca="false">SUMPRODUCT(COUNTIF(G858:L858,번호조회!$B$4:$B$9))</f>
        <v>0</v>
      </c>
    </row>
    <row r="859" customFormat="false" ht="16.5" hidden="false" customHeight="true" outlineLevel="0" collapsed="false">
      <c r="E859" s="1" t="n">
        <f aca="false">$E$13-($F$13-F859)*7</f>
        <v>40292</v>
      </c>
      <c r="F859" s="12" t="n">
        <v>386</v>
      </c>
      <c r="G859" s="16" t="n">
        <v>4</v>
      </c>
      <c r="H859" s="17" t="n">
        <v>7</v>
      </c>
      <c r="I859" s="18" t="n">
        <v>10</v>
      </c>
      <c r="J859" s="19" t="n">
        <v>19</v>
      </c>
      <c r="K859" s="20" t="n">
        <v>31</v>
      </c>
      <c r="L859" s="21" t="n">
        <v>40</v>
      </c>
      <c r="M859" s="22" t="n">
        <v>26</v>
      </c>
      <c r="N859" s="15" t="n">
        <f aca="false">SUMPRODUCT(COUNTIF(G859:L859,번호조회!$B$4:$B$9))</f>
        <v>0</v>
      </c>
    </row>
    <row r="860" customFormat="false" ht="16.5" hidden="false" customHeight="true" outlineLevel="0" collapsed="false">
      <c r="E860" s="1" t="n">
        <f aca="false">$E$13-($F$13-F860)*7</f>
        <v>40285</v>
      </c>
      <c r="F860" s="12" t="n">
        <v>385</v>
      </c>
      <c r="G860" s="16" t="n">
        <v>7</v>
      </c>
      <c r="H860" s="17" t="n">
        <v>12</v>
      </c>
      <c r="I860" s="18" t="n">
        <v>19</v>
      </c>
      <c r="J860" s="19" t="n">
        <v>21</v>
      </c>
      <c r="K860" s="20" t="n">
        <v>29</v>
      </c>
      <c r="L860" s="21" t="n">
        <v>32</v>
      </c>
      <c r="M860" s="22" t="n">
        <v>9</v>
      </c>
      <c r="N860" s="15" t="n">
        <f aca="false">SUMPRODUCT(COUNTIF(G860:L860,번호조회!$B$4:$B$9))</f>
        <v>0</v>
      </c>
    </row>
    <row r="861" customFormat="false" ht="16.5" hidden="false" customHeight="true" outlineLevel="0" collapsed="false">
      <c r="E861" s="1" t="n">
        <f aca="false">$E$13-($F$13-F861)*7</f>
        <v>40278</v>
      </c>
      <c r="F861" s="12" t="n">
        <v>384</v>
      </c>
      <c r="G861" s="16" t="n">
        <v>11</v>
      </c>
      <c r="H861" s="17" t="n">
        <v>22</v>
      </c>
      <c r="I861" s="18" t="n">
        <v>24</v>
      </c>
      <c r="J861" s="19" t="n">
        <v>32</v>
      </c>
      <c r="K861" s="20" t="n">
        <v>36</v>
      </c>
      <c r="L861" s="21" t="n">
        <v>38</v>
      </c>
      <c r="M861" s="22" t="n">
        <v>7</v>
      </c>
      <c r="N861" s="15" t="n">
        <f aca="false">SUMPRODUCT(COUNTIF(G861:L861,번호조회!$B$4:$B$9))</f>
        <v>0</v>
      </c>
    </row>
    <row r="862" customFormat="false" ht="16.5" hidden="false" customHeight="true" outlineLevel="0" collapsed="false">
      <c r="E862" s="1" t="n">
        <f aca="false">$E$13-($F$13-F862)*7</f>
        <v>40271</v>
      </c>
      <c r="F862" s="12" t="n">
        <v>383</v>
      </c>
      <c r="G862" s="16" t="n">
        <v>4</v>
      </c>
      <c r="H862" s="17" t="n">
        <v>15</v>
      </c>
      <c r="I862" s="18" t="n">
        <v>28</v>
      </c>
      <c r="J862" s="19" t="n">
        <v>33</v>
      </c>
      <c r="K862" s="20" t="n">
        <v>37</v>
      </c>
      <c r="L862" s="21" t="n">
        <v>40</v>
      </c>
      <c r="M862" s="22" t="n">
        <v>25</v>
      </c>
      <c r="N862" s="15" t="n">
        <f aca="false">SUMPRODUCT(COUNTIF(G862:L862,번호조회!$B$4:$B$9))</f>
        <v>0</v>
      </c>
    </row>
    <row r="863" customFormat="false" ht="16.5" hidden="false" customHeight="true" outlineLevel="0" collapsed="false">
      <c r="E863" s="1" t="n">
        <f aca="false">$E$13-($F$13-F863)*7</f>
        <v>40264</v>
      </c>
      <c r="F863" s="12" t="n">
        <v>382</v>
      </c>
      <c r="G863" s="16" t="n">
        <v>10</v>
      </c>
      <c r="H863" s="17" t="n">
        <v>15</v>
      </c>
      <c r="I863" s="18" t="n">
        <v>22</v>
      </c>
      <c r="J863" s="19" t="n">
        <v>24</v>
      </c>
      <c r="K863" s="20" t="n">
        <v>27</v>
      </c>
      <c r="L863" s="21" t="n">
        <v>42</v>
      </c>
      <c r="M863" s="22" t="n">
        <v>19</v>
      </c>
      <c r="N863" s="15" t="n">
        <f aca="false">SUMPRODUCT(COUNTIF(G863:L863,번호조회!$B$4:$B$9))</f>
        <v>0</v>
      </c>
    </row>
    <row r="864" customFormat="false" ht="16.5" hidden="false" customHeight="true" outlineLevel="0" collapsed="false">
      <c r="E864" s="1" t="n">
        <f aca="false">$E$13-($F$13-F864)*7</f>
        <v>40257</v>
      </c>
      <c r="F864" s="12" t="n">
        <v>381</v>
      </c>
      <c r="G864" s="16" t="n">
        <v>1</v>
      </c>
      <c r="H864" s="17" t="n">
        <v>5</v>
      </c>
      <c r="I864" s="18" t="n">
        <v>10</v>
      </c>
      <c r="J864" s="19" t="n">
        <v>12</v>
      </c>
      <c r="K864" s="20" t="n">
        <v>16</v>
      </c>
      <c r="L864" s="21" t="n">
        <v>20</v>
      </c>
      <c r="M864" s="22" t="n">
        <v>11</v>
      </c>
      <c r="N864" s="15" t="n">
        <f aca="false">SUMPRODUCT(COUNTIF(G864:L864,번호조회!$B$4:$B$9))</f>
        <v>0</v>
      </c>
    </row>
    <row r="865" customFormat="false" ht="16.5" hidden="false" customHeight="true" outlineLevel="0" collapsed="false">
      <c r="E865" s="1" t="n">
        <f aca="false">$E$13-($F$13-F865)*7</f>
        <v>40250</v>
      </c>
      <c r="F865" s="12" t="n">
        <v>380</v>
      </c>
      <c r="G865" s="16" t="n">
        <v>1</v>
      </c>
      <c r="H865" s="17" t="n">
        <v>2</v>
      </c>
      <c r="I865" s="18" t="n">
        <v>8</v>
      </c>
      <c r="J865" s="19" t="n">
        <v>17</v>
      </c>
      <c r="K865" s="20" t="n">
        <v>26</v>
      </c>
      <c r="L865" s="21" t="n">
        <v>37</v>
      </c>
      <c r="M865" s="22" t="n">
        <v>27</v>
      </c>
      <c r="N865" s="15" t="n">
        <f aca="false">SUMPRODUCT(COUNTIF(G865:L865,번호조회!$B$4:$B$9))</f>
        <v>0</v>
      </c>
    </row>
    <row r="866" customFormat="false" ht="16.5" hidden="false" customHeight="true" outlineLevel="0" collapsed="false">
      <c r="E866" s="1" t="n">
        <f aca="false">$E$13-($F$13-F866)*7</f>
        <v>40243</v>
      </c>
      <c r="F866" s="12" t="n">
        <v>379</v>
      </c>
      <c r="G866" s="16" t="n">
        <v>6</v>
      </c>
      <c r="H866" s="17" t="n">
        <v>10</v>
      </c>
      <c r="I866" s="18" t="n">
        <v>22</v>
      </c>
      <c r="J866" s="19" t="n">
        <v>31</v>
      </c>
      <c r="K866" s="20" t="n">
        <v>35</v>
      </c>
      <c r="L866" s="21" t="n">
        <v>40</v>
      </c>
      <c r="M866" s="22" t="n">
        <v>19</v>
      </c>
      <c r="N866" s="15" t="n">
        <f aca="false">SUMPRODUCT(COUNTIF(G866:L866,번호조회!$B$4:$B$9))</f>
        <v>0</v>
      </c>
    </row>
    <row r="867" customFormat="false" ht="16.5" hidden="false" customHeight="true" outlineLevel="0" collapsed="false">
      <c r="E867" s="1" t="n">
        <f aca="false">$E$13-($F$13-F867)*7</f>
        <v>40236</v>
      </c>
      <c r="F867" s="12" t="n">
        <v>378</v>
      </c>
      <c r="G867" s="16" t="n">
        <v>5</v>
      </c>
      <c r="H867" s="17" t="n">
        <v>22</v>
      </c>
      <c r="I867" s="18" t="n">
        <v>29</v>
      </c>
      <c r="J867" s="19" t="n">
        <v>31</v>
      </c>
      <c r="K867" s="20" t="n">
        <v>34</v>
      </c>
      <c r="L867" s="21" t="n">
        <v>39</v>
      </c>
      <c r="M867" s="22" t="n">
        <v>43</v>
      </c>
      <c r="N867" s="15" t="n">
        <f aca="false">SUMPRODUCT(COUNTIF(G867:L867,번호조회!$B$4:$B$9))</f>
        <v>0</v>
      </c>
    </row>
    <row r="868" customFormat="false" ht="16.5" hidden="false" customHeight="true" outlineLevel="0" collapsed="false">
      <c r="E868" s="1" t="n">
        <f aca="false">$E$13-($F$13-F868)*7</f>
        <v>40229</v>
      </c>
      <c r="F868" s="12" t="n">
        <v>377</v>
      </c>
      <c r="G868" s="16" t="n">
        <v>6</v>
      </c>
      <c r="H868" s="17" t="n">
        <v>22</v>
      </c>
      <c r="I868" s="18" t="n">
        <v>29</v>
      </c>
      <c r="J868" s="19" t="n">
        <v>37</v>
      </c>
      <c r="K868" s="20" t="n">
        <v>43</v>
      </c>
      <c r="L868" s="21" t="n">
        <v>45</v>
      </c>
      <c r="M868" s="22" t="n">
        <v>23</v>
      </c>
      <c r="N868" s="15" t="n">
        <f aca="false">SUMPRODUCT(COUNTIF(G868:L868,번호조회!$B$4:$B$9))</f>
        <v>0</v>
      </c>
    </row>
    <row r="869" customFormat="false" ht="16.5" hidden="false" customHeight="true" outlineLevel="0" collapsed="false">
      <c r="E869" s="1" t="n">
        <f aca="false">$E$13-($F$13-F869)*7</f>
        <v>40222</v>
      </c>
      <c r="F869" s="12" t="n">
        <v>376</v>
      </c>
      <c r="G869" s="16" t="n">
        <v>1</v>
      </c>
      <c r="H869" s="17" t="n">
        <v>11</v>
      </c>
      <c r="I869" s="18" t="n">
        <v>13</v>
      </c>
      <c r="J869" s="19" t="n">
        <v>24</v>
      </c>
      <c r="K869" s="20" t="n">
        <v>28</v>
      </c>
      <c r="L869" s="21" t="n">
        <v>40</v>
      </c>
      <c r="M869" s="22" t="n">
        <v>7</v>
      </c>
      <c r="N869" s="15" t="n">
        <f aca="false">SUMPRODUCT(COUNTIF(G869:L869,번호조회!$B$4:$B$9))</f>
        <v>0</v>
      </c>
    </row>
    <row r="870" customFormat="false" ht="16.5" hidden="false" customHeight="true" outlineLevel="0" collapsed="false">
      <c r="E870" s="1" t="n">
        <f aca="false">$E$13-($F$13-F870)*7</f>
        <v>40215</v>
      </c>
      <c r="F870" s="12" t="n">
        <v>375</v>
      </c>
      <c r="G870" s="16" t="n">
        <v>4</v>
      </c>
      <c r="H870" s="17" t="n">
        <v>8</v>
      </c>
      <c r="I870" s="18" t="n">
        <v>19</v>
      </c>
      <c r="J870" s="19" t="n">
        <v>25</v>
      </c>
      <c r="K870" s="20" t="n">
        <v>27</v>
      </c>
      <c r="L870" s="21" t="n">
        <v>45</v>
      </c>
      <c r="M870" s="22" t="n">
        <v>7</v>
      </c>
      <c r="N870" s="15" t="n">
        <f aca="false">SUMPRODUCT(COUNTIF(G870:L870,번호조회!$B$4:$B$9))</f>
        <v>0</v>
      </c>
    </row>
    <row r="871" customFormat="false" ht="16.5" hidden="false" customHeight="true" outlineLevel="0" collapsed="false">
      <c r="E871" s="1" t="n">
        <f aca="false">$E$13-($F$13-F871)*7</f>
        <v>40208</v>
      </c>
      <c r="F871" s="12" t="n">
        <v>374</v>
      </c>
      <c r="G871" s="16" t="n">
        <v>11</v>
      </c>
      <c r="H871" s="17" t="n">
        <v>13</v>
      </c>
      <c r="I871" s="18" t="n">
        <v>15</v>
      </c>
      <c r="J871" s="19" t="n">
        <v>17</v>
      </c>
      <c r="K871" s="20" t="n">
        <v>25</v>
      </c>
      <c r="L871" s="21" t="n">
        <v>34</v>
      </c>
      <c r="M871" s="22" t="n">
        <v>26</v>
      </c>
      <c r="N871" s="15" t="n">
        <f aca="false">SUMPRODUCT(COUNTIF(G871:L871,번호조회!$B$4:$B$9))</f>
        <v>0</v>
      </c>
    </row>
    <row r="872" customFormat="false" ht="16.5" hidden="false" customHeight="true" outlineLevel="0" collapsed="false">
      <c r="E872" s="1" t="n">
        <f aca="false">$E$13-($F$13-F872)*7</f>
        <v>40201</v>
      </c>
      <c r="F872" s="12" t="n">
        <v>373</v>
      </c>
      <c r="G872" s="16" t="n">
        <v>15</v>
      </c>
      <c r="H872" s="17" t="n">
        <v>26</v>
      </c>
      <c r="I872" s="18" t="n">
        <v>37</v>
      </c>
      <c r="J872" s="19" t="n">
        <v>42</v>
      </c>
      <c r="K872" s="20" t="n">
        <v>43</v>
      </c>
      <c r="L872" s="21" t="n">
        <v>45</v>
      </c>
      <c r="M872" s="22" t="n">
        <v>9</v>
      </c>
      <c r="N872" s="15" t="n">
        <f aca="false">SUMPRODUCT(COUNTIF(G872:L872,번호조회!$B$4:$B$9))</f>
        <v>0</v>
      </c>
    </row>
    <row r="873" customFormat="false" ht="16.5" hidden="false" customHeight="true" outlineLevel="0" collapsed="false">
      <c r="E873" s="1" t="n">
        <f aca="false">$E$13-($F$13-F873)*7</f>
        <v>40194</v>
      </c>
      <c r="F873" s="12" t="n">
        <v>372</v>
      </c>
      <c r="G873" s="16" t="n">
        <v>8</v>
      </c>
      <c r="H873" s="17" t="n">
        <v>11</v>
      </c>
      <c r="I873" s="18" t="n">
        <v>14</v>
      </c>
      <c r="J873" s="19" t="n">
        <v>16</v>
      </c>
      <c r="K873" s="20" t="n">
        <v>18</v>
      </c>
      <c r="L873" s="21" t="n">
        <v>21</v>
      </c>
      <c r="M873" s="22" t="n">
        <v>13</v>
      </c>
      <c r="N873" s="15" t="n">
        <f aca="false">SUMPRODUCT(COUNTIF(G873:L873,번호조회!$B$4:$B$9))</f>
        <v>0</v>
      </c>
    </row>
    <row r="874" customFormat="false" ht="16.5" hidden="false" customHeight="true" outlineLevel="0" collapsed="false">
      <c r="E874" s="1" t="n">
        <f aca="false">$E$13-($F$13-F874)*7</f>
        <v>40187</v>
      </c>
      <c r="F874" s="12" t="n">
        <v>371</v>
      </c>
      <c r="G874" s="16" t="n">
        <v>7</v>
      </c>
      <c r="H874" s="17" t="n">
        <v>9</v>
      </c>
      <c r="I874" s="18" t="n">
        <v>15</v>
      </c>
      <c r="J874" s="19" t="n">
        <v>26</v>
      </c>
      <c r="K874" s="20" t="n">
        <v>27</v>
      </c>
      <c r="L874" s="21" t="n">
        <v>42</v>
      </c>
      <c r="M874" s="22" t="n">
        <v>18</v>
      </c>
      <c r="N874" s="15" t="n">
        <f aca="false">SUMPRODUCT(COUNTIF(G874:L874,번호조회!$B$4:$B$9))</f>
        <v>0</v>
      </c>
    </row>
    <row r="875" customFormat="false" ht="16.5" hidden="false" customHeight="true" outlineLevel="0" collapsed="false">
      <c r="E875" s="1" t="n">
        <f aca="false">$E$13-($F$13-F875)*7</f>
        <v>40180</v>
      </c>
      <c r="F875" s="12" t="n">
        <v>370</v>
      </c>
      <c r="G875" s="16" t="n">
        <v>16</v>
      </c>
      <c r="H875" s="17" t="n">
        <v>18</v>
      </c>
      <c r="I875" s="18" t="n">
        <v>24</v>
      </c>
      <c r="J875" s="19" t="n">
        <v>42</v>
      </c>
      <c r="K875" s="20" t="n">
        <v>44</v>
      </c>
      <c r="L875" s="21" t="n">
        <v>45</v>
      </c>
      <c r="M875" s="22" t="n">
        <v>17</v>
      </c>
      <c r="N875" s="15" t="n">
        <f aca="false">SUMPRODUCT(COUNTIF(G875:L875,번호조회!$B$4:$B$9))</f>
        <v>0</v>
      </c>
    </row>
    <row r="876" customFormat="false" ht="16.5" hidden="false" customHeight="true" outlineLevel="0" collapsed="false">
      <c r="E876" s="1" t="n">
        <f aca="false">$E$13-($F$13-F876)*7</f>
        <v>40173</v>
      </c>
      <c r="F876" s="12" t="n">
        <v>369</v>
      </c>
      <c r="G876" s="16" t="n">
        <v>17</v>
      </c>
      <c r="H876" s="17" t="n">
        <v>20</v>
      </c>
      <c r="I876" s="18" t="n">
        <v>35</v>
      </c>
      <c r="J876" s="19" t="n">
        <v>36</v>
      </c>
      <c r="K876" s="20" t="n">
        <v>41</v>
      </c>
      <c r="L876" s="21" t="n">
        <v>43</v>
      </c>
      <c r="M876" s="22" t="n">
        <v>21</v>
      </c>
      <c r="N876" s="15" t="n">
        <f aca="false">SUMPRODUCT(COUNTIF(G876:L876,번호조회!$B$4:$B$9))</f>
        <v>0</v>
      </c>
    </row>
    <row r="877" customFormat="false" ht="16.5" hidden="false" customHeight="true" outlineLevel="0" collapsed="false">
      <c r="E877" s="1" t="n">
        <f aca="false">$E$13-($F$13-F877)*7</f>
        <v>40166</v>
      </c>
      <c r="F877" s="12" t="n">
        <v>368</v>
      </c>
      <c r="G877" s="16" t="n">
        <v>11</v>
      </c>
      <c r="H877" s="17" t="n">
        <v>21</v>
      </c>
      <c r="I877" s="18" t="n">
        <v>24</v>
      </c>
      <c r="J877" s="19" t="n">
        <v>30</v>
      </c>
      <c r="K877" s="20" t="n">
        <v>39</v>
      </c>
      <c r="L877" s="21" t="n">
        <v>45</v>
      </c>
      <c r="M877" s="22" t="n">
        <v>26</v>
      </c>
      <c r="N877" s="15" t="n">
        <f aca="false">SUMPRODUCT(COUNTIF(G877:L877,번호조회!$B$4:$B$9))</f>
        <v>0</v>
      </c>
    </row>
    <row r="878" customFormat="false" ht="16.5" hidden="false" customHeight="true" outlineLevel="0" collapsed="false">
      <c r="E878" s="1" t="n">
        <f aca="false">$E$13-($F$13-F878)*7</f>
        <v>40159</v>
      </c>
      <c r="F878" s="12" t="n">
        <v>367</v>
      </c>
      <c r="G878" s="16" t="n">
        <v>3</v>
      </c>
      <c r="H878" s="17" t="n">
        <v>22</v>
      </c>
      <c r="I878" s="18" t="n">
        <v>25</v>
      </c>
      <c r="J878" s="19" t="n">
        <v>29</v>
      </c>
      <c r="K878" s="20" t="n">
        <v>32</v>
      </c>
      <c r="L878" s="21" t="n">
        <v>44</v>
      </c>
      <c r="M878" s="22" t="n">
        <v>19</v>
      </c>
      <c r="N878" s="15" t="n">
        <f aca="false">SUMPRODUCT(COUNTIF(G878:L878,번호조회!$B$4:$B$9))</f>
        <v>0</v>
      </c>
    </row>
    <row r="879" customFormat="false" ht="16.5" hidden="false" customHeight="true" outlineLevel="0" collapsed="false">
      <c r="E879" s="1" t="n">
        <f aca="false">$E$13-($F$13-F879)*7</f>
        <v>40152</v>
      </c>
      <c r="F879" s="12" t="n">
        <v>366</v>
      </c>
      <c r="G879" s="16" t="n">
        <v>5</v>
      </c>
      <c r="H879" s="17" t="n">
        <v>12</v>
      </c>
      <c r="I879" s="18" t="n">
        <v>19</v>
      </c>
      <c r="J879" s="19" t="n">
        <v>26</v>
      </c>
      <c r="K879" s="20" t="n">
        <v>27</v>
      </c>
      <c r="L879" s="21" t="n">
        <v>44</v>
      </c>
      <c r="M879" s="22" t="n">
        <v>38</v>
      </c>
      <c r="N879" s="15" t="n">
        <f aca="false">SUMPRODUCT(COUNTIF(G879:L879,번호조회!$B$4:$B$9))</f>
        <v>0</v>
      </c>
    </row>
    <row r="880" customFormat="false" ht="16.5" hidden="false" customHeight="true" outlineLevel="0" collapsed="false">
      <c r="E880" s="1" t="n">
        <f aca="false">$E$13-($F$13-F880)*7</f>
        <v>40145</v>
      </c>
      <c r="F880" s="12" t="n">
        <v>365</v>
      </c>
      <c r="G880" s="16" t="n">
        <v>5</v>
      </c>
      <c r="H880" s="17" t="n">
        <v>15</v>
      </c>
      <c r="I880" s="18" t="n">
        <v>21</v>
      </c>
      <c r="J880" s="19" t="n">
        <v>25</v>
      </c>
      <c r="K880" s="20" t="n">
        <v>26</v>
      </c>
      <c r="L880" s="21" t="n">
        <v>30</v>
      </c>
      <c r="M880" s="22" t="n">
        <v>31</v>
      </c>
      <c r="N880" s="15" t="n">
        <f aca="false">SUMPRODUCT(COUNTIF(G880:L880,번호조회!$B$4:$B$9))</f>
        <v>0</v>
      </c>
    </row>
    <row r="881" customFormat="false" ht="16.5" hidden="false" customHeight="true" outlineLevel="0" collapsed="false">
      <c r="E881" s="1" t="n">
        <f aca="false">$E$13-($F$13-F881)*7</f>
        <v>40138</v>
      </c>
      <c r="F881" s="12" t="n">
        <v>364</v>
      </c>
      <c r="G881" s="16" t="n">
        <v>2</v>
      </c>
      <c r="H881" s="17" t="n">
        <v>5</v>
      </c>
      <c r="I881" s="18" t="n">
        <v>7</v>
      </c>
      <c r="J881" s="19" t="n">
        <v>14</v>
      </c>
      <c r="K881" s="20" t="n">
        <v>16</v>
      </c>
      <c r="L881" s="21" t="n">
        <v>40</v>
      </c>
      <c r="M881" s="22" t="n">
        <v>4</v>
      </c>
      <c r="N881" s="15" t="n">
        <f aca="false">SUMPRODUCT(COUNTIF(G881:L881,번호조회!$B$4:$B$9))</f>
        <v>0</v>
      </c>
    </row>
    <row r="882" customFormat="false" ht="16.5" hidden="false" customHeight="true" outlineLevel="0" collapsed="false">
      <c r="E882" s="1" t="n">
        <f aca="false">$E$13-($F$13-F882)*7</f>
        <v>40131</v>
      </c>
      <c r="F882" s="12" t="n">
        <v>363</v>
      </c>
      <c r="G882" s="16" t="n">
        <v>11</v>
      </c>
      <c r="H882" s="17" t="n">
        <v>12</v>
      </c>
      <c r="I882" s="18" t="n">
        <v>14</v>
      </c>
      <c r="J882" s="19" t="n">
        <v>21</v>
      </c>
      <c r="K882" s="20" t="n">
        <v>32</v>
      </c>
      <c r="L882" s="21" t="n">
        <v>38</v>
      </c>
      <c r="M882" s="22" t="n">
        <v>6</v>
      </c>
      <c r="N882" s="15" t="n">
        <f aca="false">SUMPRODUCT(COUNTIF(G882:L882,번호조회!$B$4:$B$9))</f>
        <v>0</v>
      </c>
    </row>
    <row r="883" customFormat="false" ht="16.5" hidden="false" customHeight="true" outlineLevel="0" collapsed="false">
      <c r="E883" s="1" t="n">
        <f aca="false">$E$13-($F$13-F883)*7</f>
        <v>40124</v>
      </c>
      <c r="F883" s="12" t="n">
        <v>362</v>
      </c>
      <c r="G883" s="16" t="n">
        <v>2</v>
      </c>
      <c r="H883" s="17" t="n">
        <v>3</v>
      </c>
      <c r="I883" s="18" t="n">
        <v>22</v>
      </c>
      <c r="J883" s="19" t="n">
        <v>27</v>
      </c>
      <c r="K883" s="20" t="n">
        <v>30</v>
      </c>
      <c r="L883" s="21" t="n">
        <v>40</v>
      </c>
      <c r="M883" s="22" t="n">
        <v>29</v>
      </c>
      <c r="N883" s="15" t="n">
        <f aca="false">SUMPRODUCT(COUNTIF(G883:L883,번호조회!$B$4:$B$9))</f>
        <v>0</v>
      </c>
    </row>
    <row r="884" customFormat="false" ht="16.5" hidden="false" customHeight="true" outlineLevel="0" collapsed="false">
      <c r="E884" s="1" t="n">
        <f aca="false">$E$13-($F$13-F884)*7</f>
        <v>40117</v>
      </c>
      <c r="F884" s="12" t="n">
        <v>361</v>
      </c>
      <c r="G884" s="16" t="n">
        <v>5</v>
      </c>
      <c r="H884" s="17" t="n">
        <v>10</v>
      </c>
      <c r="I884" s="18" t="n">
        <v>16</v>
      </c>
      <c r="J884" s="19" t="n">
        <v>24</v>
      </c>
      <c r="K884" s="20" t="n">
        <v>27</v>
      </c>
      <c r="L884" s="21" t="n">
        <v>35</v>
      </c>
      <c r="M884" s="22" t="n">
        <v>33</v>
      </c>
      <c r="N884" s="15" t="n">
        <f aca="false">SUMPRODUCT(COUNTIF(G884:L884,번호조회!$B$4:$B$9))</f>
        <v>0</v>
      </c>
    </row>
    <row r="885" customFormat="false" ht="16.5" hidden="false" customHeight="true" outlineLevel="0" collapsed="false">
      <c r="E885" s="1" t="n">
        <f aca="false">$E$13-($F$13-F885)*7</f>
        <v>40110</v>
      </c>
      <c r="F885" s="12" t="n">
        <v>360</v>
      </c>
      <c r="G885" s="16" t="n">
        <v>4</v>
      </c>
      <c r="H885" s="17" t="n">
        <v>16</v>
      </c>
      <c r="I885" s="18" t="n">
        <v>23</v>
      </c>
      <c r="J885" s="19" t="n">
        <v>25</v>
      </c>
      <c r="K885" s="20" t="n">
        <v>35</v>
      </c>
      <c r="L885" s="21" t="n">
        <v>40</v>
      </c>
      <c r="M885" s="22" t="n">
        <v>27</v>
      </c>
      <c r="N885" s="15" t="n">
        <f aca="false">SUMPRODUCT(COUNTIF(G885:L885,번호조회!$B$4:$B$9))</f>
        <v>0</v>
      </c>
    </row>
    <row r="886" customFormat="false" ht="16.5" hidden="false" customHeight="true" outlineLevel="0" collapsed="false">
      <c r="E886" s="1" t="n">
        <f aca="false">$E$13-($F$13-F886)*7</f>
        <v>40103</v>
      </c>
      <c r="F886" s="12" t="n">
        <v>359</v>
      </c>
      <c r="G886" s="16" t="n">
        <v>1</v>
      </c>
      <c r="H886" s="17" t="n">
        <v>10</v>
      </c>
      <c r="I886" s="18" t="n">
        <v>19</v>
      </c>
      <c r="J886" s="19" t="n">
        <v>20</v>
      </c>
      <c r="K886" s="20" t="n">
        <v>24</v>
      </c>
      <c r="L886" s="21" t="n">
        <v>40</v>
      </c>
      <c r="M886" s="22" t="n">
        <v>23</v>
      </c>
      <c r="N886" s="15" t="n">
        <f aca="false">SUMPRODUCT(COUNTIF(G886:L886,번호조회!$B$4:$B$9))</f>
        <v>0</v>
      </c>
    </row>
    <row r="887" customFormat="false" ht="16.5" hidden="false" customHeight="true" outlineLevel="0" collapsed="false">
      <c r="E887" s="1" t="n">
        <f aca="false">$E$13-($F$13-F887)*7</f>
        <v>40096</v>
      </c>
      <c r="F887" s="12" t="n">
        <v>358</v>
      </c>
      <c r="G887" s="16" t="n">
        <v>1</v>
      </c>
      <c r="H887" s="17" t="n">
        <v>9</v>
      </c>
      <c r="I887" s="18" t="n">
        <v>10</v>
      </c>
      <c r="J887" s="19" t="n">
        <v>12</v>
      </c>
      <c r="K887" s="20" t="n">
        <v>21</v>
      </c>
      <c r="L887" s="21" t="n">
        <v>40</v>
      </c>
      <c r="M887" s="22" t="n">
        <v>37</v>
      </c>
      <c r="N887" s="15" t="n">
        <f aca="false">SUMPRODUCT(COUNTIF(G887:L887,번호조회!$B$4:$B$9))</f>
        <v>0</v>
      </c>
    </row>
    <row r="888" customFormat="false" ht="16.5" hidden="false" customHeight="true" outlineLevel="0" collapsed="false">
      <c r="E888" s="1" t="n">
        <f aca="false">$E$13-($F$13-F888)*7</f>
        <v>40089</v>
      </c>
      <c r="F888" s="12" t="n">
        <v>357</v>
      </c>
      <c r="G888" s="16" t="n">
        <v>10</v>
      </c>
      <c r="H888" s="17" t="n">
        <v>14</v>
      </c>
      <c r="I888" s="18" t="n">
        <v>18</v>
      </c>
      <c r="J888" s="19" t="n">
        <v>21</v>
      </c>
      <c r="K888" s="20" t="n">
        <v>36</v>
      </c>
      <c r="L888" s="21" t="n">
        <v>37</v>
      </c>
      <c r="M888" s="22" t="n">
        <v>5</v>
      </c>
      <c r="N888" s="15" t="n">
        <f aca="false">SUMPRODUCT(COUNTIF(G888:L888,번호조회!$B$4:$B$9))</f>
        <v>0</v>
      </c>
    </row>
    <row r="889" customFormat="false" ht="16.5" hidden="false" customHeight="true" outlineLevel="0" collapsed="false">
      <c r="E889" s="1" t="n">
        <f aca="false">$E$13-($F$13-F889)*7</f>
        <v>40082</v>
      </c>
      <c r="F889" s="12" t="n">
        <v>356</v>
      </c>
      <c r="G889" s="16" t="n">
        <v>2</v>
      </c>
      <c r="H889" s="17" t="n">
        <v>8</v>
      </c>
      <c r="I889" s="18" t="n">
        <v>14</v>
      </c>
      <c r="J889" s="19" t="n">
        <v>25</v>
      </c>
      <c r="K889" s="20" t="n">
        <v>29</v>
      </c>
      <c r="L889" s="21" t="n">
        <v>45</v>
      </c>
      <c r="M889" s="22" t="n">
        <v>24</v>
      </c>
      <c r="N889" s="15" t="n">
        <f aca="false">SUMPRODUCT(COUNTIF(G889:L889,번호조회!$B$4:$B$9))</f>
        <v>0</v>
      </c>
    </row>
    <row r="890" customFormat="false" ht="16.5" hidden="false" customHeight="true" outlineLevel="0" collapsed="false">
      <c r="E890" s="1" t="n">
        <f aca="false">$E$13-($F$13-F890)*7</f>
        <v>40075</v>
      </c>
      <c r="F890" s="12" t="n">
        <v>355</v>
      </c>
      <c r="G890" s="16" t="n">
        <v>5</v>
      </c>
      <c r="H890" s="17" t="n">
        <v>8</v>
      </c>
      <c r="I890" s="18" t="n">
        <v>29</v>
      </c>
      <c r="J890" s="19" t="n">
        <v>30</v>
      </c>
      <c r="K890" s="20" t="n">
        <v>35</v>
      </c>
      <c r="L890" s="21" t="n">
        <v>44</v>
      </c>
      <c r="M890" s="22" t="n">
        <v>38</v>
      </c>
      <c r="N890" s="15" t="n">
        <f aca="false">SUMPRODUCT(COUNTIF(G890:L890,번호조회!$B$4:$B$9))</f>
        <v>0</v>
      </c>
    </row>
    <row r="891" customFormat="false" ht="16.5" hidden="false" customHeight="true" outlineLevel="0" collapsed="false">
      <c r="E891" s="1" t="n">
        <f aca="false">$E$13-($F$13-F891)*7</f>
        <v>40068</v>
      </c>
      <c r="F891" s="12" t="n">
        <v>354</v>
      </c>
      <c r="G891" s="16" t="n">
        <v>14</v>
      </c>
      <c r="H891" s="17" t="n">
        <v>19</v>
      </c>
      <c r="I891" s="18" t="n">
        <v>36</v>
      </c>
      <c r="J891" s="19" t="n">
        <v>43</v>
      </c>
      <c r="K891" s="20" t="n">
        <v>44</v>
      </c>
      <c r="L891" s="21" t="n">
        <v>45</v>
      </c>
      <c r="M891" s="22" t="n">
        <v>1</v>
      </c>
      <c r="N891" s="15" t="n">
        <f aca="false">SUMPRODUCT(COUNTIF(G891:L891,번호조회!$B$4:$B$9))</f>
        <v>0</v>
      </c>
    </row>
    <row r="892" customFormat="false" ht="16.5" hidden="false" customHeight="true" outlineLevel="0" collapsed="false">
      <c r="E892" s="1" t="n">
        <f aca="false">$E$13-($F$13-F892)*7</f>
        <v>40061</v>
      </c>
      <c r="F892" s="12" t="n">
        <v>353</v>
      </c>
      <c r="G892" s="16" t="n">
        <v>11</v>
      </c>
      <c r="H892" s="17" t="n">
        <v>16</v>
      </c>
      <c r="I892" s="18" t="n">
        <v>19</v>
      </c>
      <c r="J892" s="19" t="n">
        <v>22</v>
      </c>
      <c r="K892" s="20" t="n">
        <v>29</v>
      </c>
      <c r="L892" s="21" t="n">
        <v>36</v>
      </c>
      <c r="M892" s="22" t="n">
        <v>26</v>
      </c>
      <c r="N892" s="15" t="n">
        <f aca="false">SUMPRODUCT(COUNTIF(G892:L892,번호조회!$B$4:$B$9))</f>
        <v>0</v>
      </c>
    </row>
    <row r="893" customFormat="false" ht="16.5" hidden="false" customHeight="true" outlineLevel="0" collapsed="false">
      <c r="E893" s="1" t="n">
        <f aca="false">$E$13-($F$13-F893)*7</f>
        <v>40054</v>
      </c>
      <c r="F893" s="12" t="n">
        <v>352</v>
      </c>
      <c r="G893" s="16" t="n">
        <v>5</v>
      </c>
      <c r="H893" s="17" t="n">
        <v>16</v>
      </c>
      <c r="I893" s="18" t="n">
        <v>17</v>
      </c>
      <c r="J893" s="19" t="n">
        <v>20</v>
      </c>
      <c r="K893" s="20" t="n">
        <v>26</v>
      </c>
      <c r="L893" s="21" t="n">
        <v>41</v>
      </c>
      <c r="M893" s="22" t="n">
        <v>24</v>
      </c>
      <c r="N893" s="15" t="n">
        <f aca="false">SUMPRODUCT(COUNTIF(G893:L893,번호조회!$B$4:$B$9))</f>
        <v>0</v>
      </c>
    </row>
    <row r="894" customFormat="false" ht="16.5" hidden="false" customHeight="true" outlineLevel="0" collapsed="false">
      <c r="E894" s="1" t="n">
        <f aca="false">$E$13-($F$13-F894)*7</f>
        <v>40047</v>
      </c>
      <c r="F894" s="12" t="n">
        <v>351</v>
      </c>
      <c r="G894" s="16" t="n">
        <v>5</v>
      </c>
      <c r="H894" s="17" t="n">
        <v>25</v>
      </c>
      <c r="I894" s="18" t="n">
        <v>27</v>
      </c>
      <c r="J894" s="19" t="n">
        <v>29</v>
      </c>
      <c r="K894" s="20" t="n">
        <v>34</v>
      </c>
      <c r="L894" s="21" t="n">
        <v>36</v>
      </c>
      <c r="M894" s="22" t="n">
        <v>33</v>
      </c>
      <c r="N894" s="15" t="n">
        <f aca="false">SUMPRODUCT(COUNTIF(G894:L894,번호조회!$B$4:$B$9))</f>
        <v>0</v>
      </c>
    </row>
    <row r="895" customFormat="false" ht="16.5" hidden="false" customHeight="true" outlineLevel="0" collapsed="false">
      <c r="E895" s="1" t="n">
        <f aca="false">$E$13-($F$13-F895)*7</f>
        <v>40040</v>
      </c>
      <c r="F895" s="12" t="n">
        <v>350</v>
      </c>
      <c r="G895" s="16" t="n">
        <v>1</v>
      </c>
      <c r="H895" s="17" t="n">
        <v>8</v>
      </c>
      <c r="I895" s="18" t="n">
        <v>18</v>
      </c>
      <c r="J895" s="19" t="n">
        <v>24</v>
      </c>
      <c r="K895" s="20" t="n">
        <v>29</v>
      </c>
      <c r="L895" s="21" t="n">
        <v>33</v>
      </c>
      <c r="M895" s="22" t="n">
        <v>35</v>
      </c>
      <c r="N895" s="15" t="n">
        <f aca="false">SUMPRODUCT(COUNTIF(G895:L895,번호조회!$B$4:$B$9))</f>
        <v>0</v>
      </c>
    </row>
    <row r="896" customFormat="false" ht="16.5" hidden="false" customHeight="true" outlineLevel="0" collapsed="false">
      <c r="E896" s="1" t="n">
        <f aca="false">$E$13-($F$13-F896)*7</f>
        <v>40033</v>
      </c>
      <c r="F896" s="12" t="n">
        <v>349</v>
      </c>
      <c r="G896" s="16" t="n">
        <v>5</v>
      </c>
      <c r="H896" s="17" t="n">
        <v>13</v>
      </c>
      <c r="I896" s="18" t="n">
        <v>14</v>
      </c>
      <c r="J896" s="19" t="n">
        <v>20</v>
      </c>
      <c r="K896" s="20" t="n">
        <v>24</v>
      </c>
      <c r="L896" s="21" t="n">
        <v>25</v>
      </c>
      <c r="M896" s="22" t="n">
        <v>36</v>
      </c>
      <c r="N896" s="15" t="n">
        <f aca="false">SUMPRODUCT(COUNTIF(G896:L896,번호조회!$B$4:$B$9))</f>
        <v>0</v>
      </c>
    </row>
    <row r="897" customFormat="false" ht="16.5" hidden="false" customHeight="true" outlineLevel="0" collapsed="false">
      <c r="E897" s="1" t="n">
        <f aca="false">$E$13-($F$13-F897)*7</f>
        <v>40026</v>
      </c>
      <c r="F897" s="12" t="n">
        <v>348</v>
      </c>
      <c r="G897" s="16" t="n">
        <v>3</v>
      </c>
      <c r="H897" s="17" t="n">
        <v>14</v>
      </c>
      <c r="I897" s="18" t="n">
        <v>17</v>
      </c>
      <c r="J897" s="19" t="n">
        <v>20</v>
      </c>
      <c r="K897" s="20" t="n">
        <v>24</v>
      </c>
      <c r="L897" s="21" t="n">
        <v>31</v>
      </c>
      <c r="M897" s="22" t="n">
        <v>34</v>
      </c>
      <c r="N897" s="15" t="n">
        <f aca="false">SUMPRODUCT(COUNTIF(G897:L897,번호조회!$B$4:$B$9))</f>
        <v>0</v>
      </c>
    </row>
    <row r="898" customFormat="false" ht="16.5" hidden="false" customHeight="true" outlineLevel="0" collapsed="false">
      <c r="E898" s="1" t="n">
        <f aca="false">$E$13-($F$13-F898)*7</f>
        <v>40019</v>
      </c>
      <c r="F898" s="12" t="n">
        <v>347</v>
      </c>
      <c r="G898" s="16" t="n">
        <v>3</v>
      </c>
      <c r="H898" s="17" t="n">
        <v>8</v>
      </c>
      <c r="I898" s="18" t="n">
        <v>13</v>
      </c>
      <c r="J898" s="19" t="n">
        <v>27</v>
      </c>
      <c r="K898" s="20" t="n">
        <v>32</v>
      </c>
      <c r="L898" s="21" t="n">
        <v>42</v>
      </c>
      <c r="M898" s="22" t="n">
        <v>10</v>
      </c>
      <c r="N898" s="15" t="n">
        <f aca="false">SUMPRODUCT(COUNTIF(G898:L898,번호조회!$B$4:$B$9))</f>
        <v>0</v>
      </c>
    </row>
    <row r="899" customFormat="false" ht="16.5" hidden="false" customHeight="true" outlineLevel="0" collapsed="false">
      <c r="E899" s="1" t="n">
        <f aca="false">$E$13-($F$13-F899)*7</f>
        <v>40012</v>
      </c>
      <c r="F899" s="12" t="n">
        <v>346</v>
      </c>
      <c r="G899" s="16" t="n">
        <v>5</v>
      </c>
      <c r="H899" s="17" t="n">
        <v>13</v>
      </c>
      <c r="I899" s="18" t="n">
        <v>14</v>
      </c>
      <c r="J899" s="19" t="n">
        <v>22</v>
      </c>
      <c r="K899" s="20" t="n">
        <v>44</v>
      </c>
      <c r="L899" s="21" t="n">
        <v>45</v>
      </c>
      <c r="M899" s="22" t="n">
        <v>33</v>
      </c>
      <c r="N899" s="15" t="n">
        <f aca="false">SUMPRODUCT(COUNTIF(G899:L899,번호조회!$B$4:$B$9))</f>
        <v>0</v>
      </c>
    </row>
    <row r="900" customFormat="false" ht="16.5" hidden="false" customHeight="true" outlineLevel="0" collapsed="false">
      <c r="E900" s="1" t="n">
        <f aca="false">$E$13-($F$13-F900)*7</f>
        <v>40005</v>
      </c>
      <c r="F900" s="12" t="n">
        <v>345</v>
      </c>
      <c r="G900" s="16" t="n">
        <v>15</v>
      </c>
      <c r="H900" s="17" t="n">
        <v>20</v>
      </c>
      <c r="I900" s="18" t="n">
        <v>23</v>
      </c>
      <c r="J900" s="19" t="n">
        <v>29</v>
      </c>
      <c r="K900" s="20" t="n">
        <v>39</v>
      </c>
      <c r="L900" s="21" t="n">
        <v>42</v>
      </c>
      <c r="M900" s="22" t="n">
        <v>2</v>
      </c>
      <c r="N900" s="15" t="n">
        <f aca="false">SUMPRODUCT(COUNTIF(G900:L900,번호조회!$B$4:$B$9))</f>
        <v>0</v>
      </c>
    </row>
    <row r="901" customFormat="false" ht="16.5" hidden="false" customHeight="true" outlineLevel="0" collapsed="false">
      <c r="E901" s="1" t="n">
        <f aca="false">$E$13-($F$13-F901)*7</f>
        <v>39998</v>
      </c>
      <c r="F901" s="12" t="n">
        <v>344</v>
      </c>
      <c r="G901" s="16" t="n">
        <v>1</v>
      </c>
      <c r="H901" s="17" t="n">
        <v>2</v>
      </c>
      <c r="I901" s="18" t="n">
        <v>15</v>
      </c>
      <c r="J901" s="19" t="n">
        <v>28</v>
      </c>
      <c r="K901" s="20" t="n">
        <v>34</v>
      </c>
      <c r="L901" s="21" t="n">
        <v>45</v>
      </c>
      <c r="M901" s="22" t="n">
        <v>38</v>
      </c>
      <c r="N901" s="15" t="n">
        <f aca="false">SUMPRODUCT(COUNTIF(G901:L901,번호조회!$B$4:$B$9))</f>
        <v>0</v>
      </c>
    </row>
    <row r="902" customFormat="false" ht="16.5" hidden="false" customHeight="true" outlineLevel="0" collapsed="false">
      <c r="E902" s="1" t="n">
        <f aca="false">$E$13-($F$13-F902)*7</f>
        <v>39991</v>
      </c>
      <c r="F902" s="12" t="n">
        <v>343</v>
      </c>
      <c r="G902" s="16" t="n">
        <v>1</v>
      </c>
      <c r="H902" s="17" t="n">
        <v>10</v>
      </c>
      <c r="I902" s="18" t="n">
        <v>17</v>
      </c>
      <c r="J902" s="19" t="n">
        <v>29</v>
      </c>
      <c r="K902" s="20" t="n">
        <v>31</v>
      </c>
      <c r="L902" s="21" t="n">
        <v>43</v>
      </c>
      <c r="M902" s="22" t="n">
        <v>15</v>
      </c>
      <c r="N902" s="15" t="n">
        <f aca="false">SUMPRODUCT(COUNTIF(G902:L902,번호조회!$B$4:$B$9))</f>
        <v>0</v>
      </c>
    </row>
    <row r="903" customFormat="false" ht="16.5" hidden="false" customHeight="true" outlineLevel="0" collapsed="false">
      <c r="E903" s="1" t="n">
        <f aca="false">$E$13-($F$13-F903)*7</f>
        <v>39984</v>
      </c>
      <c r="F903" s="12" t="n">
        <v>342</v>
      </c>
      <c r="G903" s="16" t="n">
        <v>1</v>
      </c>
      <c r="H903" s="17" t="n">
        <v>13</v>
      </c>
      <c r="I903" s="18" t="n">
        <v>14</v>
      </c>
      <c r="J903" s="19" t="n">
        <v>33</v>
      </c>
      <c r="K903" s="20" t="n">
        <v>34</v>
      </c>
      <c r="L903" s="21" t="n">
        <v>43</v>
      </c>
      <c r="M903" s="22" t="n">
        <v>25</v>
      </c>
      <c r="N903" s="15" t="n">
        <f aca="false">SUMPRODUCT(COUNTIF(G903:L903,번호조회!$B$4:$B$9))</f>
        <v>0</v>
      </c>
    </row>
    <row r="904" customFormat="false" ht="16.5" hidden="false" customHeight="true" outlineLevel="0" collapsed="false">
      <c r="E904" s="1" t="n">
        <f aca="false">$E$13-($F$13-F904)*7</f>
        <v>39977</v>
      </c>
      <c r="F904" s="12" t="n">
        <v>341</v>
      </c>
      <c r="G904" s="16" t="n">
        <v>1</v>
      </c>
      <c r="H904" s="17" t="n">
        <v>8</v>
      </c>
      <c r="I904" s="18" t="n">
        <v>19</v>
      </c>
      <c r="J904" s="19" t="n">
        <v>34</v>
      </c>
      <c r="K904" s="20" t="n">
        <v>39</v>
      </c>
      <c r="L904" s="21" t="n">
        <v>43</v>
      </c>
      <c r="M904" s="22" t="n">
        <v>41</v>
      </c>
      <c r="N904" s="15" t="n">
        <f aca="false">SUMPRODUCT(COUNTIF(G904:L904,번호조회!$B$4:$B$9))</f>
        <v>0</v>
      </c>
    </row>
    <row r="905" customFormat="false" ht="16.5" hidden="false" customHeight="true" outlineLevel="0" collapsed="false">
      <c r="E905" s="1" t="n">
        <f aca="false">$E$13-($F$13-F905)*7</f>
        <v>39970</v>
      </c>
      <c r="F905" s="12" t="n">
        <v>340</v>
      </c>
      <c r="G905" s="16" t="n">
        <v>18</v>
      </c>
      <c r="H905" s="17" t="n">
        <v>24</v>
      </c>
      <c r="I905" s="18" t="n">
        <v>26</v>
      </c>
      <c r="J905" s="19" t="n">
        <v>29</v>
      </c>
      <c r="K905" s="20" t="n">
        <v>34</v>
      </c>
      <c r="L905" s="21" t="n">
        <v>38</v>
      </c>
      <c r="M905" s="22" t="n">
        <v>32</v>
      </c>
      <c r="N905" s="15" t="n">
        <f aca="false">SUMPRODUCT(COUNTIF(G905:L905,번호조회!$B$4:$B$9))</f>
        <v>0</v>
      </c>
    </row>
    <row r="906" customFormat="false" ht="16.5" hidden="false" customHeight="true" outlineLevel="0" collapsed="false">
      <c r="E906" s="1" t="n">
        <f aca="false">$E$13-($F$13-F906)*7</f>
        <v>39963</v>
      </c>
      <c r="F906" s="12" t="n">
        <v>339</v>
      </c>
      <c r="G906" s="16" t="n">
        <v>6</v>
      </c>
      <c r="H906" s="17" t="n">
        <v>8</v>
      </c>
      <c r="I906" s="18" t="n">
        <v>14</v>
      </c>
      <c r="J906" s="19" t="n">
        <v>21</v>
      </c>
      <c r="K906" s="20" t="n">
        <v>30</v>
      </c>
      <c r="L906" s="21" t="n">
        <v>37</v>
      </c>
      <c r="M906" s="22" t="n">
        <v>45</v>
      </c>
      <c r="N906" s="15" t="n">
        <f aca="false">SUMPRODUCT(COUNTIF(G906:L906,번호조회!$B$4:$B$9))</f>
        <v>0</v>
      </c>
    </row>
    <row r="907" customFormat="false" ht="16.5" hidden="false" customHeight="true" outlineLevel="0" collapsed="false">
      <c r="E907" s="1" t="n">
        <f aca="false">$E$13-($F$13-F907)*7</f>
        <v>39956</v>
      </c>
      <c r="F907" s="12" t="n">
        <v>338</v>
      </c>
      <c r="G907" s="16" t="n">
        <v>2</v>
      </c>
      <c r="H907" s="17" t="n">
        <v>13</v>
      </c>
      <c r="I907" s="18" t="n">
        <v>34</v>
      </c>
      <c r="J907" s="19" t="n">
        <v>38</v>
      </c>
      <c r="K907" s="20" t="n">
        <v>42</v>
      </c>
      <c r="L907" s="21" t="n">
        <v>45</v>
      </c>
      <c r="M907" s="22" t="n">
        <v>16</v>
      </c>
      <c r="N907" s="15" t="n">
        <f aca="false">SUMPRODUCT(COUNTIF(G907:L907,번호조회!$B$4:$B$9))</f>
        <v>0</v>
      </c>
    </row>
    <row r="908" customFormat="false" ht="16.5" hidden="false" customHeight="true" outlineLevel="0" collapsed="false">
      <c r="E908" s="1" t="n">
        <f aca="false">$E$13-($F$13-F908)*7</f>
        <v>39949</v>
      </c>
      <c r="F908" s="12" t="n">
        <v>337</v>
      </c>
      <c r="G908" s="16" t="n">
        <v>1</v>
      </c>
      <c r="H908" s="17" t="n">
        <v>5</v>
      </c>
      <c r="I908" s="18" t="n">
        <v>14</v>
      </c>
      <c r="J908" s="19" t="n">
        <v>18</v>
      </c>
      <c r="K908" s="20" t="n">
        <v>32</v>
      </c>
      <c r="L908" s="21" t="n">
        <v>37</v>
      </c>
      <c r="M908" s="22" t="n">
        <v>4</v>
      </c>
      <c r="N908" s="15" t="n">
        <f aca="false">SUMPRODUCT(COUNTIF(G908:L908,번호조회!$B$4:$B$9))</f>
        <v>0</v>
      </c>
    </row>
    <row r="909" customFormat="false" ht="16.5" hidden="false" customHeight="true" outlineLevel="0" collapsed="false">
      <c r="E909" s="1" t="n">
        <f aca="false">$E$13-($F$13-F909)*7</f>
        <v>39942</v>
      </c>
      <c r="F909" s="12" t="n">
        <v>336</v>
      </c>
      <c r="G909" s="16" t="n">
        <v>3</v>
      </c>
      <c r="H909" s="17" t="n">
        <v>5</v>
      </c>
      <c r="I909" s="18" t="n">
        <v>20</v>
      </c>
      <c r="J909" s="19" t="n">
        <v>34</v>
      </c>
      <c r="K909" s="20" t="n">
        <v>35</v>
      </c>
      <c r="L909" s="21" t="n">
        <v>44</v>
      </c>
      <c r="M909" s="22" t="n">
        <v>16</v>
      </c>
      <c r="N909" s="15" t="n">
        <f aca="false">SUMPRODUCT(COUNTIF(G909:L909,번호조회!$B$4:$B$9))</f>
        <v>0</v>
      </c>
    </row>
    <row r="910" customFormat="false" ht="16.5" hidden="false" customHeight="true" outlineLevel="0" collapsed="false">
      <c r="E910" s="1" t="n">
        <f aca="false">$E$13-($F$13-F910)*7</f>
        <v>39935</v>
      </c>
      <c r="F910" s="12" t="n">
        <v>335</v>
      </c>
      <c r="G910" s="16" t="n">
        <v>5</v>
      </c>
      <c r="H910" s="17" t="n">
        <v>9</v>
      </c>
      <c r="I910" s="18" t="n">
        <v>16</v>
      </c>
      <c r="J910" s="19" t="n">
        <v>23</v>
      </c>
      <c r="K910" s="20" t="n">
        <v>26</v>
      </c>
      <c r="L910" s="21" t="n">
        <v>45</v>
      </c>
      <c r="M910" s="22" t="n">
        <v>21</v>
      </c>
      <c r="N910" s="15" t="n">
        <f aca="false">SUMPRODUCT(COUNTIF(G910:L910,번호조회!$B$4:$B$9))</f>
        <v>0</v>
      </c>
    </row>
    <row r="911" customFormat="false" ht="16.5" hidden="false" customHeight="true" outlineLevel="0" collapsed="false">
      <c r="E911" s="1" t="n">
        <f aca="false">$E$13-($F$13-F911)*7</f>
        <v>39928</v>
      </c>
      <c r="F911" s="12" t="n">
        <v>334</v>
      </c>
      <c r="G911" s="16" t="n">
        <v>13</v>
      </c>
      <c r="H911" s="17" t="n">
        <v>15</v>
      </c>
      <c r="I911" s="18" t="n">
        <v>21</v>
      </c>
      <c r="J911" s="19" t="n">
        <v>29</v>
      </c>
      <c r="K911" s="20" t="n">
        <v>39</v>
      </c>
      <c r="L911" s="21" t="n">
        <v>43</v>
      </c>
      <c r="M911" s="22" t="n">
        <v>33</v>
      </c>
      <c r="N911" s="15" t="n">
        <f aca="false">SUMPRODUCT(COUNTIF(G911:L911,번호조회!$B$4:$B$9))</f>
        <v>0</v>
      </c>
    </row>
    <row r="912" customFormat="false" ht="16.5" hidden="false" customHeight="true" outlineLevel="0" collapsed="false">
      <c r="E912" s="1" t="n">
        <f aca="false">$E$13-($F$13-F912)*7</f>
        <v>39921</v>
      </c>
      <c r="F912" s="12" t="n">
        <v>333</v>
      </c>
      <c r="G912" s="16" t="n">
        <v>5</v>
      </c>
      <c r="H912" s="17" t="n">
        <v>14</v>
      </c>
      <c r="I912" s="18" t="n">
        <v>27</v>
      </c>
      <c r="J912" s="19" t="n">
        <v>30</v>
      </c>
      <c r="K912" s="20" t="n">
        <v>39</v>
      </c>
      <c r="L912" s="21" t="n">
        <v>43</v>
      </c>
      <c r="M912" s="22" t="n">
        <v>35</v>
      </c>
      <c r="N912" s="15" t="n">
        <f aca="false">SUMPRODUCT(COUNTIF(G912:L912,번호조회!$B$4:$B$9))</f>
        <v>0</v>
      </c>
    </row>
    <row r="913" customFormat="false" ht="16.5" hidden="false" customHeight="true" outlineLevel="0" collapsed="false">
      <c r="E913" s="1" t="n">
        <f aca="false">$E$13-($F$13-F913)*7</f>
        <v>39914</v>
      </c>
      <c r="F913" s="12" t="n">
        <v>332</v>
      </c>
      <c r="G913" s="16" t="n">
        <v>16</v>
      </c>
      <c r="H913" s="17" t="n">
        <v>17</v>
      </c>
      <c r="I913" s="18" t="n">
        <v>34</v>
      </c>
      <c r="J913" s="19" t="n">
        <v>36</v>
      </c>
      <c r="K913" s="20" t="n">
        <v>42</v>
      </c>
      <c r="L913" s="21" t="n">
        <v>45</v>
      </c>
      <c r="M913" s="22" t="n">
        <v>3</v>
      </c>
      <c r="N913" s="15" t="n">
        <f aca="false">SUMPRODUCT(COUNTIF(G913:L913,번호조회!$B$4:$B$9))</f>
        <v>0</v>
      </c>
    </row>
    <row r="914" customFormat="false" ht="16.5" hidden="false" customHeight="true" outlineLevel="0" collapsed="false">
      <c r="E914" s="1" t="n">
        <f aca="false">$E$13-($F$13-F914)*7</f>
        <v>39907</v>
      </c>
      <c r="F914" s="12" t="n">
        <v>331</v>
      </c>
      <c r="G914" s="16" t="n">
        <v>4</v>
      </c>
      <c r="H914" s="17" t="n">
        <v>9</v>
      </c>
      <c r="I914" s="18" t="n">
        <v>14</v>
      </c>
      <c r="J914" s="19" t="n">
        <v>26</v>
      </c>
      <c r="K914" s="20" t="n">
        <v>31</v>
      </c>
      <c r="L914" s="21" t="n">
        <v>44</v>
      </c>
      <c r="M914" s="22" t="n">
        <v>39</v>
      </c>
      <c r="N914" s="15" t="n">
        <f aca="false">SUMPRODUCT(COUNTIF(G914:L914,번호조회!$B$4:$B$9))</f>
        <v>0</v>
      </c>
    </row>
    <row r="915" customFormat="false" ht="16.5" hidden="false" customHeight="true" outlineLevel="0" collapsed="false">
      <c r="E915" s="1" t="n">
        <f aca="false">$E$13-($F$13-F915)*7</f>
        <v>39900</v>
      </c>
      <c r="F915" s="12" t="n">
        <v>330</v>
      </c>
      <c r="G915" s="16" t="n">
        <v>3</v>
      </c>
      <c r="H915" s="17" t="n">
        <v>4</v>
      </c>
      <c r="I915" s="18" t="n">
        <v>16</v>
      </c>
      <c r="J915" s="19" t="n">
        <v>17</v>
      </c>
      <c r="K915" s="20" t="n">
        <v>19</v>
      </c>
      <c r="L915" s="21" t="n">
        <v>20</v>
      </c>
      <c r="M915" s="22" t="n">
        <v>23</v>
      </c>
      <c r="N915" s="15" t="n">
        <f aca="false">SUMPRODUCT(COUNTIF(G915:L915,번호조회!$B$4:$B$9))</f>
        <v>0</v>
      </c>
    </row>
    <row r="916" customFormat="false" ht="16.5" hidden="false" customHeight="true" outlineLevel="0" collapsed="false">
      <c r="E916" s="1" t="n">
        <f aca="false">$E$13-($F$13-F916)*7</f>
        <v>39893</v>
      </c>
      <c r="F916" s="12" t="n">
        <v>329</v>
      </c>
      <c r="G916" s="16" t="n">
        <v>9</v>
      </c>
      <c r="H916" s="17" t="n">
        <v>17</v>
      </c>
      <c r="I916" s="18" t="n">
        <v>19</v>
      </c>
      <c r="J916" s="19" t="n">
        <v>30</v>
      </c>
      <c r="K916" s="20" t="n">
        <v>35</v>
      </c>
      <c r="L916" s="21" t="n">
        <v>42</v>
      </c>
      <c r="M916" s="22" t="n">
        <v>4</v>
      </c>
      <c r="N916" s="15" t="n">
        <f aca="false">SUMPRODUCT(COUNTIF(G916:L916,번호조회!$B$4:$B$9))</f>
        <v>0</v>
      </c>
    </row>
    <row r="917" customFormat="false" ht="16.5" hidden="false" customHeight="true" outlineLevel="0" collapsed="false">
      <c r="E917" s="1" t="n">
        <f aca="false">$E$13-($F$13-F917)*7</f>
        <v>39886</v>
      </c>
      <c r="F917" s="12" t="n">
        <v>328</v>
      </c>
      <c r="G917" s="16" t="n">
        <v>1</v>
      </c>
      <c r="H917" s="17" t="n">
        <v>6</v>
      </c>
      <c r="I917" s="18" t="n">
        <v>9</v>
      </c>
      <c r="J917" s="19" t="n">
        <v>16</v>
      </c>
      <c r="K917" s="20" t="n">
        <v>17</v>
      </c>
      <c r="L917" s="21" t="n">
        <v>28</v>
      </c>
      <c r="M917" s="22" t="n">
        <v>24</v>
      </c>
      <c r="N917" s="15" t="n">
        <f aca="false">SUMPRODUCT(COUNTIF(G917:L917,번호조회!$B$4:$B$9))</f>
        <v>0</v>
      </c>
    </row>
    <row r="918" customFormat="false" ht="16.5" hidden="false" customHeight="true" outlineLevel="0" collapsed="false">
      <c r="E918" s="1" t="n">
        <f aca="false">$E$13-($F$13-F918)*7</f>
        <v>39879</v>
      </c>
      <c r="F918" s="12" t="n">
        <v>327</v>
      </c>
      <c r="G918" s="16" t="n">
        <v>6</v>
      </c>
      <c r="H918" s="17" t="n">
        <v>12</v>
      </c>
      <c r="I918" s="18" t="n">
        <v>13</v>
      </c>
      <c r="J918" s="19" t="n">
        <v>17</v>
      </c>
      <c r="K918" s="20" t="n">
        <v>32</v>
      </c>
      <c r="L918" s="21" t="n">
        <v>44</v>
      </c>
      <c r="M918" s="22" t="n">
        <v>24</v>
      </c>
      <c r="N918" s="15" t="n">
        <f aca="false">SUMPRODUCT(COUNTIF(G918:L918,번호조회!$B$4:$B$9))</f>
        <v>0</v>
      </c>
    </row>
    <row r="919" customFormat="false" ht="16.5" hidden="false" customHeight="true" outlineLevel="0" collapsed="false">
      <c r="E919" s="1" t="n">
        <f aca="false">$E$13-($F$13-F919)*7</f>
        <v>39872</v>
      </c>
      <c r="F919" s="12" t="n">
        <v>326</v>
      </c>
      <c r="G919" s="16" t="n">
        <v>16</v>
      </c>
      <c r="H919" s="17" t="n">
        <v>23</v>
      </c>
      <c r="I919" s="18" t="n">
        <v>25</v>
      </c>
      <c r="J919" s="19" t="n">
        <v>33</v>
      </c>
      <c r="K919" s="20" t="n">
        <v>36</v>
      </c>
      <c r="L919" s="21" t="n">
        <v>39</v>
      </c>
      <c r="M919" s="22" t="n">
        <v>40</v>
      </c>
      <c r="N919" s="15" t="n">
        <f aca="false">SUMPRODUCT(COUNTIF(G919:L919,번호조회!$B$4:$B$9))</f>
        <v>0</v>
      </c>
    </row>
    <row r="920" customFormat="false" ht="16.5" hidden="false" customHeight="true" outlineLevel="0" collapsed="false">
      <c r="E920" s="1" t="n">
        <f aca="false">$E$13-($F$13-F920)*7</f>
        <v>39865</v>
      </c>
      <c r="F920" s="12" t="n">
        <v>325</v>
      </c>
      <c r="G920" s="16" t="n">
        <v>7</v>
      </c>
      <c r="H920" s="17" t="n">
        <v>17</v>
      </c>
      <c r="I920" s="18" t="n">
        <v>20</v>
      </c>
      <c r="J920" s="19" t="n">
        <v>32</v>
      </c>
      <c r="K920" s="20" t="n">
        <v>44</v>
      </c>
      <c r="L920" s="21" t="n">
        <v>45</v>
      </c>
      <c r="M920" s="22" t="n">
        <v>33</v>
      </c>
      <c r="N920" s="15" t="n">
        <f aca="false">SUMPRODUCT(COUNTIF(G920:L920,번호조회!$B$4:$B$9))</f>
        <v>0</v>
      </c>
    </row>
    <row r="921" customFormat="false" ht="16.5" hidden="false" customHeight="true" outlineLevel="0" collapsed="false">
      <c r="E921" s="1" t="n">
        <f aca="false">$E$13-($F$13-F921)*7</f>
        <v>39858</v>
      </c>
      <c r="F921" s="12" t="n">
        <v>324</v>
      </c>
      <c r="G921" s="16" t="n">
        <v>2</v>
      </c>
      <c r="H921" s="17" t="n">
        <v>4</v>
      </c>
      <c r="I921" s="18" t="n">
        <v>21</v>
      </c>
      <c r="J921" s="19" t="n">
        <v>25</v>
      </c>
      <c r="K921" s="20" t="n">
        <v>33</v>
      </c>
      <c r="L921" s="21" t="n">
        <v>36</v>
      </c>
      <c r="M921" s="22" t="n">
        <v>17</v>
      </c>
      <c r="N921" s="15" t="n">
        <f aca="false">SUMPRODUCT(COUNTIF(G921:L921,번호조회!$B$4:$B$9))</f>
        <v>0</v>
      </c>
    </row>
    <row r="922" customFormat="false" ht="16.5" hidden="false" customHeight="true" outlineLevel="0" collapsed="false">
      <c r="E922" s="1" t="n">
        <f aca="false">$E$13-($F$13-F922)*7</f>
        <v>39851</v>
      </c>
      <c r="F922" s="12" t="n">
        <v>323</v>
      </c>
      <c r="G922" s="16" t="n">
        <v>10</v>
      </c>
      <c r="H922" s="17" t="n">
        <v>14</v>
      </c>
      <c r="I922" s="18" t="n">
        <v>15</v>
      </c>
      <c r="J922" s="19" t="n">
        <v>32</v>
      </c>
      <c r="K922" s="20" t="n">
        <v>36</v>
      </c>
      <c r="L922" s="21" t="n">
        <v>42</v>
      </c>
      <c r="M922" s="22" t="n">
        <v>3</v>
      </c>
      <c r="N922" s="15" t="n">
        <f aca="false">SUMPRODUCT(COUNTIF(G922:L922,번호조회!$B$4:$B$9))</f>
        <v>0</v>
      </c>
    </row>
    <row r="923" customFormat="false" ht="16.5" hidden="false" customHeight="true" outlineLevel="0" collapsed="false">
      <c r="E923" s="1" t="n">
        <f aca="false">$E$13-($F$13-F923)*7</f>
        <v>39844</v>
      </c>
      <c r="F923" s="12" t="n">
        <v>322</v>
      </c>
      <c r="G923" s="16" t="n">
        <v>9</v>
      </c>
      <c r="H923" s="17" t="n">
        <v>18</v>
      </c>
      <c r="I923" s="18" t="n">
        <v>29</v>
      </c>
      <c r="J923" s="19" t="n">
        <v>32</v>
      </c>
      <c r="K923" s="20" t="n">
        <v>38</v>
      </c>
      <c r="L923" s="21" t="n">
        <v>43</v>
      </c>
      <c r="M923" s="22" t="n">
        <v>20</v>
      </c>
      <c r="N923" s="15" t="n">
        <f aca="false">SUMPRODUCT(COUNTIF(G923:L923,번호조회!$B$4:$B$9))</f>
        <v>0</v>
      </c>
    </row>
    <row r="924" customFormat="false" ht="16.5" hidden="false" customHeight="true" outlineLevel="0" collapsed="false">
      <c r="E924" s="1" t="n">
        <f aca="false">$E$13-($F$13-F924)*7</f>
        <v>39837</v>
      </c>
      <c r="F924" s="12" t="n">
        <v>321</v>
      </c>
      <c r="G924" s="16" t="n">
        <v>12</v>
      </c>
      <c r="H924" s="17" t="n">
        <v>18</v>
      </c>
      <c r="I924" s="18" t="n">
        <v>20</v>
      </c>
      <c r="J924" s="19" t="n">
        <v>21</v>
      </c>
      <c r="K924" s="20" t="n">
        <v>25</v>
      </c>
      <c r="L924" s="21" t="n">
        <v>34</v>
      </c>
      <c r="M924" s="22" t="n">
        <v>42</v>
      </c>
      <c r="N924" s="15" t="n">
        <f aca="false">SUMPRODUCT(COUNTIF(G924:L924,번호조회!$B$4:$B$9))</f>
        <v>0</v>
      </c>
    </row>
    <row r="925" customFormat="false" ht="16.5" hidden="false" customHeight="true" outlineLevel="0" collapsed="false">
      <c r="E925" s="1" t="n">
        <f aca="false">$E$13-($F$13-F925)*7</f>
        <v>39830</v>
      </c>
      <c r="F925" s="12" t="n">
        <v>320</v>
      </c>
      <c r="G925" s="16" t="n">
        <v>16</v>
      </c>
      <c r="H925" s="17" t="n">
        <v>19</v>
      </c>
      <c r="I925" s="18" t="n">
        <v>23</v>
      </c>
      <c r="J925" s="19" t="n">
        <v>25</v>
      </c>
      <c r="K925" s="20" t="n">
        <v>41</v>
      </c>
      <c r="L925" s="21" t="n">
        <v>45</v>
      </c>
      <c r="M925" s="22" t="n">
        <v>3</v>
      </c>
      <c r="N925" s="15" t="n">
        <f aca="false">SUMPRODUCT(COUNTIF(G925:L925,번호조회!$B$4:$B$9))</f>
        <v>0</v>
      </c>
    </row>
    <row r="926" customFormat="false" ht="16.5" hidden="false" customHeight="true" outlineLevel="0" collapsed="false">
      <c r="E926" s="1" t="n">
        <f aca="false">$E$13-($F$13-F926)*7</f>
        <v>39823</v>
      </c>
      <c r="F926" s="12" t="n">
        <v>319</v>
      </c>
      <c r="G926" s="16" t="n">
        <v>5</v>
      </c>
      <c r="H926" s="17" t="n">
        <v>8</v>
      </c>
      <c r="I926" s="18" t="n">
        <v>22</v>
      </c>
      <c r="J926" s="19" t="n">
        <v>28</v>
      </c>
      <c r="K926" s="20" t="n">
        <v>33</v>
      </c>
      <c r="L926" s="21" t="n">
        <v>42</v>
      </c>
      <c r="M926" s="22" t="n">
        <v>37</v>
      </c>
      <c r="N926" s="15" t="n">
        <f aca="false">SUMPRODUCT(COUNTIF(G926:L926,번호조회!$B$4:$B$9))</f>
        <v>0</v>
      </c>
    </row>
    <row r="927" customFormat="false" ht="16.5" hidden="false" customHeight="true" outlineLevel="0" collapsed="false">
      <c r="E927" s="1" t="n">
        <f aca="false">$E$13-($F$13-F927)*7</f>
        <v>39816</v>
      </c>
      <c r="F927" s="12" t="n">
        <v>318</v>
      </c>
      <c r="G927" s="16" t="n">
        <v>2</v>
      </c>
      <c r="H927" s="17" t="n">
        <v>17</v>
      </c>
      <c r="I927" s="18" t="n">
        <v>19</v>
      </c>
      <c r="J927" s="19" t="n">
        <v>20</v>
      </c>
      <c r="K927" s="20" t="n">
        <v>34</v>
      </c>
      <c r="L927" s="21" t="n">
        <v>45</v>
      </c>
      <c r="M927" s="22" t="n">
        <v>21</v>
      </c>
      <c r="N927" s="15" t="n">
        <f aca="false">SUMPRODUCT(COUNTIF(G927:L927,번호조회!$B$4:$B$9))</f>
        <v>0</v>
      </c>
    </row>
    <row r="928" customFormat="false" ht="16.5" hidden="false" customHeight="true" outlineLevel="0" collapsed="false">
      <c r="E928" s="1" t="n">
        <f aca="false">$E$13-($F$13-F928)*7</f>
        <v>39809</v>
      </c>
      <c r="F928" s="12" t="n">
        <v>317</v>
      </c>
      <c r="G928" s="16" t="n">
        <v>3</v>
      </c>
      <c r="H928" s="17" t="n">
        <v>10</v>
      </c>
      <c r="I928" s="18" t="n">
        <v>11</v>
      </c>
      <c r="J928" s="19" t="n">
        <v>22</v>
      </c>
      <c r="K928" s="20" t="n">
        <v>36</v>
      </c>
      <c r="L928" s="21" t="n">
        <v>39</v>
      </c>
      <c r="M928" s="22" t="n">
        <v>8</v>
      </c>
      <c r="N928" s="15" t="n">
        <f aca="false">SUMPRODUCT(COUNTIF(G928:L928,번호조회!$B$4:$B$9))</f>
        <v>0</v>
      </c>
    </row>
    <row r="929" customFormat="false" ht="16.5" hidden="false" customHeight="true" outlineLevel="0" collapsed="false">
      <c r="E929" s="1" t="n">
        <f aca="false">$E$13-($F$13-F929)*7</f>
        <v>39802</v>
      </c>
      <c r="F929" s="12" t="n">
        <v>316</v>
      </c>
      <c r="G929" s="16" t="n">
        <v>10</v>
      </c>
      <c r="H929" s="17" t="n">
        <v>11</v>
      </c>
      <c r="I929" s="18" t="n">
        <v>21</v>
      </c>
      <c r="J929" s="19" t="n">
        <v>27</v>
      </c>
      <c r="K929" s="20" t="n">
        <v>31</v>
      </c>
      <c r="L929" s="21" t="n">
        <v>39</v>
      </c>
      <c r="M929" s="22" t="n">
        <v>43</v>
      </c>
      <c r="N929" s="15" t="n">
        <f aca="false">SUMPRODUCT(COUNTIF(G929:L929,번호조회!$B$4:$B$9))</f>
        <v>0</v>
      </c>
    </row>
    <row r="930" customFormat="false" ht="16.5" hidden="false" customHeight="true" outlineLevel="0" collapsed="false">
      <c r="E930" s="1" t="n">
        <f aca="false">$E$13-($F$13-F930)*7</f>
        <v>39795</v>
      </c>
      <c r="F930" s="12" t="n">
        <v>315</v>
      </c>
      <c r="G930" s="16" t="n">
        <v>1</v>
      </c>
      <c r="H930" s="17" t="n">
        <v>13</v>
      </c>
      <c r="I930" s="18" t="n">
        <v>33</v>
      </c>
      <c r="J930" s="19" t="n">
        <v>35</v>
      </c>
      <c r="K930" s="20" t="n">
        <v>43</v>
      </c>
      <c r="L930" s="21" t="n">
        <v>45</v>
      </c>
      <c r="M930" s="22" t="n">
        <v>23</v>
      </c>
      <c r="N930" s="15" t="n">
        <f aca="false">SUMPRODUCT(COUNTIF(G930:L930,번호조회!$B$4:$B$9))</f>
        <v>0</v>
      </c>
    </row>
    <row r="931" customFormat="false" ht="16.5" hidden="false" customHeight="true" outlineLevel="0" collapsed="false">
      <c r="E931" s="1" t="n">
        <f aca="false">$E$13-($F$13-F931)*7</f>
        <v>39788</v>
      </c>
      <c r="F931" s="12" t="n">
        <v>314</v>
      </c>
      <c r="G931" s="16" t="n">
        <v>15</v>
      </c>
      <c r="H931" s="17" t="n">
        <v>17</v>
      </c>
      <c r="I931" s="18" t="n">
        <v>19</v>
      </c>
      <c r="J931" s="19" t="n">
        <v>34</v>
      </c>
      <c r="K931" s="20" t="n">
        <v>38</v>
      </c>
      <c r="L931" s="21" t="n">
        <v>41</v>
      </c>
      <c r="M931" s="22" t="n">
        <v>2</v>
      </c>
      <c r="N931" s="15" t="n">
        <f aca="false">SUMPRODUCT(COUNTIF(G931:L931,번호조회!$B$4:$B$9))</f>
        <v>0</v>
      </c>
    </row>
    <row r="932" customFormat="false" ht="16.5" hidden="false" customHeight="true" outlineLevel="0" collapsed="false">
      <c r="E932" s="1" t="n">
        <f aca="false">$E$13-($F$13-F932)*7</f>
        <v>39781</v>
      </c>
      <c r="F932" s="12" t="n">
        <v>313</v>
      </c>
      <c r="G932" s="16" t="n">
        <v>9</v>
      </c>
      <c r="H932" s="17" t="n">
        <v>17</v>
      </c>
      <c r="I932" s="18" t="n">
        <v>34</v>
      </c>
      <c r="J932" s="19" t="n">
        <v>35</v>
      </c>
      <c r="K932" s="20" t="n">
        <v>43</v>
      </c>
      <c r="L932" s="21" t="n">
        <v>45</v>
      </c>
      <c r="M932" s="22" t="n">
        <v>2</v>
      </c>
      <c r="N932" s="15" t="n">
        <f aca="false">SUMPRODUCT(COUNTIF(G932:L932,번호조회!$B$4:$B$9))</f>
        <v>0</v>
      </c>
    </row>
    <row r="933" customFormat="false" ht="16.5" hidden="false" customHeight="true" outlineLevel="0" collapsed="false">
      <c r="E933" s="1" t="n">
        <f aca="false">$E$13-($F$13-F933)*7</f>
        <v>39774</v>
      </c>
      <c r="F933" s="12" t="n">
        <v>312</v>
      </c>
      <c r="G933" s="16" t="n">
        <v>2</v>
      </c>
      <c r="H933" s="17" t="n">
        <v>3</v>
      </c>
      <c r="I933" s="18" t="n">
        <v>5</v>
      </c>
      <c r="J933" s="19" t="n">
        <v>6</v>
      </c>
      <c r="K933" s="20" t="n">
        <v>12</v>
      </c>
      <c r="L933" s="21" t="n">
        <v>20</v>
      </c>
      <c r="M933" s="22" t="n">
        <v>25</v>
      </c>
      <c r="N933" s="15" t="n">
        <f aca="false">SUMPRODUCT(COUNTIF(G933:L933,번호조회!$B$4:$B$9))</f>
        <v>0</v>
      </c>
    </row>
    <row r="934" customFormat="false" ht="16.5" hidden="false" customHeight="true" outlineLevel="0" collapsed="false">
      <c r="E934" s="1" t="n">
        <f aca="false">$E$13-($F$13-F934)*7</f>
        <v>39767</v>
      </c>
      <c r="F934" s="12" t="n">
        <v>311</v>
      </c>
      <c r="G934" s="16" t="n">
        <v>4</v>
      </c>
      <c r="H934" s="17" t="n">
        <v>12</v>
      </c>
      <c r="I934" s="18" t="n">
        <v>24</v>
      </c>
      <c r="J934" s="19" t="n">
        <v>27</v>
      </c>
      <c r="K934" s="20" t="n">
        <v>28</v>
      </c>
      <c r="L934" s="21" t="n">
        <v>32</v>
      </c>
      <c r="M934" s="22" t="n">
        <v>10</v>
      </c>
      <c r="N934" s="15" t="n">
        <f aca="false">SUMPRODUCT(COUNTIF(G934:L934,번호조회!$B$4:$B$9))</f>
        <v>0</v>
      </c>
    </row>
    <row r="935" customFormat="false" ht="16.5" hidden="false" customHeight="true" outlineLevel="0" collapsed="false">
      <c r="E935" s="1" t="n">
        <f aca="false">$E$13-($F$13-F935)*7</f>
        <v>39760</v>
      </c>
      <c r="F935" s="12" t="n">
        <v>310</v>
      </c>
      <c r="G935" s="16" t="n">
        <v>1</v>
      </c>
      <c r="H935" s="17" t="n">
        <v>5</v>
      </c>
      <c r="I935" s="18" t="n">
        <v>19</v>
      </c>
      <c r="J935" s="19" t="n">
        <v>28</v>
      </c>
      <c r="K935" s="20" t="n">
        <v>34</v>
      </c>
      <c r="L935" s="21" t="n">
        <v>41</v>
      </c>
      <c r="M935" s="22" t="n">
        <v>16</v>
      </c>
      <c r="N935" s="15" t="n">
        <f aca="false">SUMPRODUCT(COUNTIF(G935:L935,번호조회!$B$4:$B$9))</f>
        <v>0</v>
      </c>
    </row>
    <row r="936" customFormat="false" ht="16.5" hidden="false" customHeight="true" outlineLevel="0" collapsed="false">
      <c r="E936" s="1" t="n">
        <f aca="false">$E$13-($F$13-F936)*7</f>
        <v>39753</v>
      </c>
      <c r="F936" s="12" t="n">
        <v>309</v>
      </c>
      <c r="G936" s="16" t="n">
        <v>1</v>
      </c>
      <c r="H936" s="17" t="n">
        <v>2</v>
      </c>
      <c r="I936" s="18" t="n">
        <v>5</v>
      </c>
      <c r="J936" s="19" t="n">
        <v>11</v>
      </c>
      <c r="K936" s="20" t="n">
        <v>18</v>
      </c>
      <c r="L936" s="21" t="n">
        <v>36</v>
      </c>
      <c r="M936" s="22" t="n">
        <v>22</v>
      </c>
      <c r="N936" s="15" t="n">
        <f aca="false">SUMPRODUCT(COUNTIF(G936:L936,번호조회!$B$4:$B$9))</f>
        <v>0</v>
      </c>
    </row>
    <row r="937" customFormat="false" ht="16.5" hidden="false" customHeight="true" outlineLevel="0" collapsed="false">
      <c r="E937" s="1" t="n">
        <f aca="false">$E$13-($F$13-F937)*7</f>
        <v>39746</v>
      </c>
      <c r="F937" s="12" t="n">
        <v>308</v>
      </c>
      <c r="G937" s="16" t="n">
        <v>14</v>
      </c>
      <c r="H937" s="17" t="n">
        <v>15</v>
      </c>
      <c r="I937" s="18" t="n">
        <v>17</v>
      </c>
      <c r="J937" s="19" t="n">
        <v>19</v>
      </c>
      <c r="K937" s="20" t="n">
        <v>37</v>
      </c>
      <c r="L937" s="21" t="n">
        <v>45</v>
      </c>
      <c r="M937" s="22" t="n">
        <v>40</v>
      </c>
      <c r="N937" s="15" t="n">
        <f aca="false">SUMPRODUCT(COUNTIF(G937:L937,번호조회!$B$4:$B$9))</f>
        <v>0</v>
      </c>
    </row>
    <row r="938" customFormat="false" ht="16.5" hidden="false" customHeight="true" outlineLevel="0" collapsed="false">
      <c r="E938" s="1" t="n">
        <f aca="false">$E$13-($F$13-F938)*7</f>
        <v>39739</v>
      </c>
      <c r="F938" s="12" t="n">
        <v>307</v>
      </c>
      <c r="G938" s="16" t="n">
        <v>5</v>
      </c>
      <c r="H938" s="17" t="n">
        <v>15</v>
      </c>
      <c r="I938" s="18" t="n">
        <v>21</v>
      </c>
      <c r="J938" s="19" t="n">
        <v>23</v>
      </c>
      <c r="K938" s="20" t="n">
        <v>25</v>
      </c>
      <c r="L938" s="21" t="n">
        <v>45</v>
      </c>
      <c r="M938" s="22" t="n">
        <v>12</v>
      </c>
      <c r="N938" s="15" t="n">
        <f aca="false">SUMPRODUCT(COUNTIF(G938:L938,번호조회!$B$4:$B$9))</f>
        <v>0</v>
      </c>
    </row>
    <row r="939" customFormat="false" ht="16.5" hidden="false" customHeight="true" outlineLevel="0" collapsed="false">
      <c r="E939" s="1" t="n">
        <f aca="false">$E$13-($F$13-F939)*7</f>
        <v>39732</v>
      </c>
      <c r="F939" s="12" t="n">
        <v>306</v>
      </c>
      <c r="G939" s="16" t="n">
        <v>4</v>
      </c>
      <c r="H939" s="17" t="n">
        <v>18</v>
      </c>
      <c r="I939" s="18" t="n">
        <v>23</v>
      </c>
      <c r="J939" s="19" t="n">
        <v>30</v>
      </c>
      <c r="K939" s="20" t="n">
        <v>34</v>
      </c>
      <c r="L939" s="21" t="n">
        <v>41</v>
      </c>
      <c r="M939" s="22" t="n">
        <v>19</v>
      </c>
      <c r="N939" s="15" t="n">
        <f aca="false">SUMPRODUCT(COUNTIF(G939:L939,번호조회!$B$4:$B$9))</f>
        <v>0</v>
      </c>
    </row>
    <row r="940" customFormat="false" ht="16.5" hidden="false" customHeight="true" outlineLevel="0" collapsed="false">
      <c r="E940" s="1" t="n">
        <f aca="false">$E$13-($F$13-F940)*7</f>
        <v>39725</v>
      </c>
      <c r="F940" s="12" t="n">
        <v>305</v>
      </c>
      <c r="G940" s="16" t="n">
        <v>7</v>
      </c>
      <c r="H940" s="17" t="n">
        <v>8</v>
      </c>
      <c r="I940" s="18" t="n">
        <v>18</v>
      </c>
      <c r="J940" s="19" t="n">
        <v>21</v>
      </c>
      <c r="K940" s="20" t="n">
        <v>23</v>
      </c>
      <c r="L940" s="21" t="n">
        <v>39</v>
      </c>
      <c r="M940" s="22" t="n">
        <v>9</v>
      </c>
      <c r="N940" s="15" t="n">
        <f aca="false">SUMPRODUCT(COUNTIF(G940:L940,번호조회!$B$4:$B$9))</f>
        <v>0</v>
      </c>
    </row>
    <row r="941" customFormat="false" ht="16.5" hidden="false" customHeight="true" outlineLevel="0" collapsed="false">
      <c r="E941" s="1" t="n">
        <f aca="false">$E$13-($F$13-F941)*7</f>
        <v>39718</v>
      </c>
      <c r="F941" s="12" t="n">
        <v>304</v>
      </c>
      <c r="G941" s="16" t="n">
        <v>4</v>
      </c>
      <c r="H941" s="17" t="n">
        <v>10</v>
      </c>
      <c r="I941" s="18" t="n">
        <v>16</v>
      </c>
      <c r="J941" s="19" t="n">
        <v>26</v>
      </c>
      <c r="K941" s="20" t="n">
        <v>33</v>
      </c>
      <c r="L941" s="21" t="n">
        <v>41</v>
      </c>
      <c r="M941" s="22" t="n">
        <v>38</v>
      </c>
      <c r="N941" s="15" t="n">
        <f aca="false">SUMPRODUCT(COUNTIF(G941:L941,번호조회!$B$4:$B$9))</f>
        <v>0</v>
      </c>
    </row>
    <row r="942" customFormat="false" ht="16.5" hidden="false" customHeight="true" outlineLevel="0" collapsed="false">
      <c r="E942" s="1" t="n">
        <f aca="false">$E$13-($F$13-F942)*7</f>
        <v>39711</v>
      </c>
      <c r="F942" s="12" t="n">
        <v>303</v>
      </c>
      <c r="G942" s="16" t="n">
        <v>2</v>
      </c>
      <c r="H942" s="17" t="n">
        <v>14</v>
      </c>
      <c r="I942" s="18" t="n">
        <v>17</v>
      </c>
      <c r="J942" s="19" t="n">
        <v>30</v>
      </c>
      <c r="K942" s="20" t="n">
        <v>38</v>
      </c>
      <c r="L942" s="21" t="n">
        <v>45</v>
      </c>
      <c r="M942" s="22" t="n">
        <v>43</v>
      </c>
      <c r="N942" s="15" t="n">
        <f aca="false">SUMPRODUCT(COUNTIF(G942:L942,번호조회!$B$4:$B$9))</f>
        <v>0</v>
      </c>
    </row>
    <row r="943" customFormat="false" ht="16.5" hidden="false" customHeight="true" outlineLevel="0" collapsed="false">
      <c r="E943" s="1" t="n">
        <f aca="false">$E$13-($F$13-F943)*7</f>
        <v>39704</v>
      </c>
      <c r="F943" s="12" t="n">
        <v>302</v>
      </c>
      <c r="G943" s="16" t="n">
        <v>13</v>
      </c>
      <c r="H943" s="17" t="n">
        <v>19</v>
      </c>
      <c r="I943" s="18" t="n">
        <v>20</v>
      </c>
      <c r="J943" s="19" t="n">
        <v>32</v>
      </c>
      <c r="K943" s="20" t="n">
        <v>38</v>
      </c>
      <c r="L943" s="21" t="n">
        <v>42</v>
      </c>
      <c r="M943" s="22" t="n">
        <v>4</v>
      </c>
      <c r="N943" s="15" t="n">
        <f aca="false">SUMPRODUCT(COUNTIF(G943:L943,번호조회!$B$4:$B$9))</f>
        <v>0</v>
      </c>
    </row>
    <row r="944" customFormat="false" ht="16.5" hidden="false" customHeight="true" outlineLevel="0" collapsed="false">
      <c r="E944" s="1" t="n">
        <f aca="false">$E$13-($F$13-F944)*7</f>
        <v>39697</v>
      </c>
      <c r="F944" s="12" t="n">
        <v>301</v>
      </c>
      <c r="G944" s="16" t="n">
        <v>7</v>
      </c>
      <c r="H944" s="17" t="n">
        <v>11</v>
      </c>
      <c r="I944" s="18" t="n">
        <v>13</v>
      </c>
      <c r="J944" s="19" t="n">
        <v>33</v>
      </c>
      <c r="K944" s="20" t="n">
        <v>37</v>
      </c>
      <c r="L944" s="21" t="n">
        <v>43</v>
      </c>
      <c r="M944" s="22" t="n">
        <v>26</v>
      </c>
      <c r="N944" s="15" t="n">
        <f aca="false">SUMPRODUCT(COUNTIF(G944:L944,번호조회!$B$4:$B$9))</f>
        <v>0</v>
      </c>
    </row>
    <row r="945" customFormat="false" ht="16.5" hidden="false" customHeight="true" outlineLevel="0" collapsed="false">
      <c r="E945" s="1" t="n">
        <f aca="false">$E$13-($F$13-F945)*7</f>
        <v>39690</v>
      </c>
      <c r="F945" s="12" t="n">
        <v>300</v>
      </c>
      <c r="G945" s="16" t="n">
        <v>7</v>
      </c>
      <c r="H945" s="17" t="n">
        <v>9</v>
      </c>
      <c r="I945" s="18" t="n">
        <v>10</v>
      </c>
      <c r="J945" s="19" t="n">
        <v>12</v>
      </c>
      <c r="K945" s="20" t="n">
        <v>26</v>
      </c>
      <c r="L945" s="21" t="n">
        <v>38</v>
      </c>
      <c r="M945" s="22" t="n">
        <v>39</v>
      </c>
      <c r="N945" s="15" t="n">
        <f aca="false">SUMPRODUCT(COUNTIF(G945:L945,번호조회!$B$4:$B$9))</f>
        <v>0</v>
      </c>
    </row>
    <row r="946" customFormat="false" ht="16.5" hidden="false" customHeight="true" outlineLevel="0" collapsed="false">
      <c r="E946" s="1" t="n">
        <f aca="false">$E$13-($F$13-F946)*7</f>
        <v>39683</v>
      </c>
      <c r="F946" s="12" t="n">
        <v>299</v>
      </c>
      <c r="G946" s="16" t="n">
        <v>1</v>
      </c>
      <c r="H946" s="17" t="n">
        <v>3</v>
      </c>
      <c r="I946" s="18" t="n">
        <v>20</v>
      </c>
      <c r="J946" s="19" t="n">
        <v>25</v>
      </c>
      <c r="K946" s="20" t="n">
        <v>36</v>
      </c>
      <c r="L946" s="21" t="n">
        <v>45</v>
      </c>
      <c r="M946" s="22" t="n">
        <v>24</v>
      </c>
      <c r="N946" s="15" t="n">
        <f aca="false">SUMPRODUCT(COUNTIF(G946:L946,번호조회!$B$4:$B$9))</f>
        <v>0</v>
      </c>
    </row>
    <row r="947" customFormat="false" ht="16.5" hidden="false" customHeight="true" outlineLevel="0" collapsed="false">
      <c r="E947" s="1" t="n">
        <f aca="false">$E$13-($F$13-F947)*7</f>
        <v>39676</v>
      </c>
      <c r="F947" s="12" t="n">
        <v>298</v>
      </c>
      <c r="G947" s="16" t="n">
        <v>5</v>
      </c>
      <c r="H947" s="17" t="n">
        <v>9</v>
      </c>
      <c r="I947" s="18" t="n">
        <v>27</v>
      </c>
      <c r="J947" s="19" t="n">
        <v>29</v>
      </c>
      <c r="K947" s="20" t="n">
        <v>37</v>
      </c>
      <c r="L947" s="21" t="n">
        <v>40</v>
      </c>
      <c r="M947" s="22" t="n">
        <v>19</v>
      </c>
      <c r="N947" s="15" t="n">
        <f aca="false">SUMPRODUCT(COUNTIF(G947:L947,번호조회!$B$4:$B$9))</f>
        <v>0</v>
      </c>
    </row>
    <row r="948" customFormat="false" ht="16.5" hidden="false" customHeight="true" outlineLevel="0" collapsed="false">
      <c r="E948" s="1" t="n">
        <f aca="false">$E$13-($F$13-F948)*7</f>
        <v>39669</v>
      </c>
      <c r="F948" s="12" t="n">
        <v>297</v>
      </c>
      <c r="G948" s="16" t="n">
        <v>6</v>
      </c>
      <c r="H948" s="17" t="n">
        <v>11</v>
      </c>
      <c r="I948" s="18" t="n">
        <v>19</v>
      </c>
      <c r="J948" s="19" t="n">
        <v>20</v>
      </c>
      <c r="K948" s="20" t="n">
        <v>28</v>
      </c>
      <c r="L948" s="21" t="n">
        <v>32</v>
      </c>
      <c r="M948" s="22" t="n">
        <v>34</v>
      </c>
      <c r="N948" s="15" t="n">
        <f aca="false">SUMPRODUCT(COUNTIF(G948:L948,번호조회!$B$4:$B$9))</f>
        <v>0</v>
      </c>
    </row>
    <row r="949" customFormat="false" ht="16.5" hidden="false" customHeight="true" outlineLevel="0" collapsed="false">
      <c r="E949" s="1" t="n">
        <f aca="false">$E$13-($F$13-F949)*7</f>
        <v>39662</v>
      </c>
      <c r="F949" s="12" t="n">
        <v>296</v>
      </c>
      <c r="G949" s="16" t="n">
        <v>3</v>
      </c>
      <c r="H949" s="17" t="n">
        <v>8</v>
      </c>
      <c r="I949" s="18" t="n">
        <v>15</v>
      </c>
      <c r="J949" s="19" t="n">
        <v>27</v>
      </c>
      <c r="K949" s="20" t="n">
        <v>30</v>
      </c>
      <c r="L949" s="21" t="n">
        <v>45</v>
      </c>
      <c r="M949" s="22" t="n">
        <v>44</v>
      </c>
      <c r="N949" s="15" t="n">
        <f aca="false">SUMPRODUCT(COUNTIF(G949:L949,번호조회!$B$4:$B$9))</f>
        <v>0</v>
      </c>
    </row>
    <row r="950" customFormat="false" ht="16.5" hidden="false" customHeight="true" outlineLevel="0" collapsed="false">
      <c r="E950" s="1" t="n">
        <f aca="false">$E$13-($F$13-F950)*7</f>
        <v>39655</v>
      </c>
      <c r="F950" s="12" t="n">
        <v>295</v>
      </c>
      <c r="G950" s="16" t="n">
        <v>1</v>
      </c>
      <c r="H950" s="17" t="n">
        <v>4</v>
      </c>
      <c r="I950" s="18" t="n">
        <v>12</v>
      </c>
      <c r="J950" s="19" t="n">
        <v>16</v>
      </c>
      <c r="K950" s="20" t="n">
        <v>18</v>
      </c>
      <c r="L950" s="21" t="n">
        <v>38</v>
      </c>
      <c r="M950" s="22" t="n">
        <v>8</v>
      </c>
      <c r="N950" s="15" t="n">
        <f aca="false">SUMPRODUCT(COUNTIF(G950:L950,번호조회!$B$4:$B$9))</f>
        <v>0</v>
      </c>
    </row>
    <row r="951" customFormat="false" ht="16.5" hidden="false" customHeight="true" outlineLevel="0" collapsed="false">
      <c r="E951" s="1" t="n">
        <f aca="false">$E$13-($F$13-F951)*7</f>
        <v>39648</v>
      </c>
      <c r="F951" s="12" t="n">
        <v>294</v>
      </c>
      <c r="G951" s="16" t="n">
        <v>6</v>
      </c>
      <c r="H951" s="17" t="n">
        <v>10</v>
      </c>
      <c r="I951" s="18" t="n">
        <v>17</v>
      </c>
      <c r="J951" s="19" t="n">
        <v>30</v>
      </c>
      <c r="K951" s="20" t="n">
        <v>37</v>
      </c>
      <c r="L951" s="21" t="n">
        <v>38</v>
      </c>
      <c r="M951" s="22" t="n">
        <v>40</v>
      </c>
      <c r="N951" s="15" t="n">
        <f aca="false">SUMPRODUCT(COUNTIF(G951:L951,번호조회!$B$4:$B$9))</f>
        <v>0</v>
      </c>
    </row>
    <row r="952" customFormat="false" ht="16.5" hidden="false" customHeight="true" outlineLevel="0" collapsed="false">
      <c r="E952" s="1" t="n">
        <f aca="false">$E$13-($F$13-F952)*7</f>
        <v>39641</v>
      </c>
      <c r="F952" s="12" t="n">
        <v>293</v>
      </c>
      <c r="G952" s="16" t="n">
        <v>1</v>
      </c>
      <c r="H952" s="17" t="n">
        <v>9</v>
      </c>
      <c r="I952" s="18" t="n">
        <v>17</v>
      </c>
      <c r="J952" s="19" t="n">
        <v>21</v>
      </c>
      <c r="K952" s="20" t="n">
        <v>29</v>
      </c>
      <c r="L952" s="21" t="n">
        <v>33</v>
      </c>
      <c r="M952" s="22" t="n">
        <v>24</v>
      </c>
      <c r="N952" s="15" t="n">
        <f aca="false">SUMPRODUCT(COUNTIF(G952:L952,번호조회!$B$4:$B$9))</f>
        <v>0</v>
      </c>
    </row>
    <row r="953" customFormat="false" ht="16.5" hidden="false" customHeight="true" outlineLevel="0" collapsed="false">
      <c r="E953" s="1" t="n">
        <f aca="false">$E$13-($F$13-F953)*7</f>
        <v>39634</v>
      </c>
      <c r="F953" s="12" t="n">
        <v>292</v>
      </c>
      <c r="G953" s="16" t="n">
        <v>17</v>
      </c>
      <c r="H953" s="17" t="n">
        <v>18</v>
      </c>
      <c r="I953" s="18" t="n">
        <v>31</v>
      </c>
      <c r="J953" s="19" t="n">
        <v>32</v>
      </c>
      <c r="K953" s="20" t="n">
        <v>33</v>
      </c>
      <c r="L953" s="21" t="n">
        <v>34</v>
      </c>
      <c r="M953" s="22" t="n">
        <v>10</v>
      </c>
      <c r="N953" s="15" t="n">
        <f aca="false">SUMPRODUCT(COUNTIF(G953:L953,번호조회!$B$4:$B$9))</f>
        <v>0</v>
      </c>
    </row>
    <row r="954" customFormat="false" ht="16.5" hidden="false" customHeight="true" outlineLevel="0" collapsed="false">
      <c r="E954" s="1" t="n">
        <f aca="false">$E$13-($F$13-F954)*7</f>
        <v>39627</v>
      </c>
      <c r="F954" s="12" t="n">
        <v>291</v>
      </c>
      <c r="G954" s="16" t="n">
        <v>3</v>
      </c>
      <c r="H954" s="17" t="n">
        <v>7</v>
      </c>
      <c r="I954" s="18" t="n">
        <v>8</v>
      </c>
      <c r="J954" s="19" t="n">
        <v>18</v>
      </c>
      <c r="K954" s="20" t="n">
        <v>20</v>
      </c>
      <c r="L954" s="21" t="n">
        <v>42</v>
      </c>
      <c r="M954" s="22" t="n">
        <v>45</v>
      </c>
      <c r="N954" s="15" t="n">
        <f aca="false">SUMPRODUCT(COUNTIF(G954:L954,번호조회!$B$4:$B$9))</f>
        <v>0</v>
      </c>
    </row>
    <row r="955" customFormat="false" ht="16.5" hidden="false" customHeight="true" outlineLevel="0" collapsed="false">
      <c r="E955" s="1" t="n">
        <f aca="false">$E$13-($F$13-F955)*7</f>
        <v>39620</v>
      </c>
      <c r="F955" s="12" t="n">
        <v>290</v>
      </c>
      <c r="G955" s="16" t="n">
        <v>8</v>
      </c>
      <c r="H955" s="17" t="n">
        <v>13</v>
      </c>
      <c r="I955" s="18" t="n">
        <v>18</v>
      </c>
      <c r="J955" s="19" t="n">
        <v>32</v>
      </c>
      <c r="K955" s="20" t="n">
        <v>39</v>
      </c>
      <c r="L955" s="21" t="n">
        <v>45</v>
      </c>
      <c r="M955" s="22" t="n">
        <v>7</v>
      </c>
      <c r="N955" s="15" t="n">
        <f aca="false">SUMPRODUCT(COUNTIF(G955:L955,번호조회!$B$4:$B$9))</f>
        <v>0</v>
      </c>
    </row>
    <row r="956" customFormat="false" ht="16.5" hidden="false" customHeight="true" outlineLevel="0" collapsed="false">
      <c r="E956" s="1" t="n">
        <f aca="false">$E$13-($F$13-F956)*7</f>
        <v>39613</v>
      </c>
      <c r="F956" s="12" t="n">
        <v>289</v>
      </c>
      <c r="G956" s="16" t="n">
        <v>3</v>
      </c>
      <c r="H956" s="17" t="n">
        <v>14</v>
      </c>
      <c r="I956" s="18" t="n">
        <v>33</v>
      </c>
      <c r="J956" s="19" t="n">
        <v>37</v>
      </c>
      <c r="K956" s="20" t="n">
        <v>38</v>
      </c>
      <c r="L956" s="21" t="n">
        <v>42</v>
      </c>
      <c r="M956" s="22" t="n">
        <v>10</v>
      </c>
      <c r="N956" s="15" t="n">
        <f aca="false">SUMPRODUCT(COUNTIF(G956:L956,번호조회!$B$4:$B$9))</f>
        <v>0</v>
      </c>
    </row>
    <row r="957" customFormat="false" ht="16.5" hidden="false" customHeight="true" outlineLevel="0" collapsed="false">
      <c r="E957" s="1" t="n">
        <f aca="false">$E$13-($F$13-F957)*7</f>
        <v>39606</v>
      </c>
      <c r="F957" s="12" t="n">
        <v>288</v>
      </c>
      <c r="G957" s="16" t="n">
        <v>1</v>
      </c>
      <c r="H957" s="17" t="n">
        <v>12</v>
      </c>
      <c r="I957" s="18" t="n">
        <v>17</v>
      </c>
      <c r="J957" s="19" t="n">
        <v>28</v>
      </c>
      <c r="K957" s="20" t="n">
        <v>35</v>
      </c>
      <c r="L957" s="21" t="n">
        <v>41</v>
      </c>
      <c r="M957" s="22" t="n">
        <v>10</v>
      </c>
      <c r="N957" s="15" t="n">
        <f aca="false">SUMPRODUCT(COUNTIF(G957:L957,번호조회!$B$4:$B$9))</f>
        <v>0</v>
      </c>
    </row>
    <row r="958" customFormat="false" ht="16.5" hidden="false" customHeight="true" outlineLevel="0" collapsed="false">
      <c r="E958" s="1" t="n">
        <f aca="false">$E$13-($F$13-F958)*7</f>
        <v>39599</v>
      </c>
      <c r="F958" s="12" t="n">
        <v>287</v>
      </c>
      <c r="G958" s="16" t="n">
        <v>6</v>
      </c>
      <c r="H958" s="17" t="n">
        <v>12</v>
      </c>
      <c r="I958" s="18" t="n">
        <v>24</v>
      </c>
      <c r="J958" s="19" t="n">
        <v>27</v>
      </c>
      <c r="K958" s="20" t="n">
        <v>35</v>
      </c>
      <c r="L958" s="21" t="n">
        <v>37</v>
      </c>
      <c r="M958" s="22" t="n">
        <v>41</v>
      </c>
      <c r="N958" s="15" t="n">
        <f aca="false">SUMPRODUCT(COUNTIF(G958:L958,번호조회!$B$4:$B$9))</f>
        <v>0</v>
      </c>
    </row>
    <row r="959" customFormat="false" ht="16.5" hidden="false" customHeight="true" outlineLevel="0" collapsed="false">
      <c r="E959" s="1" t="n">
        <f aca="false">$E$13-($F$13-F959)*7</f>
        <v>39592</v>
      </c>
      <c r="F959" s="12" t="n">
        <v>286</v>
      </c>
      <c r="G959" s="16" t="n">
        <v>1</v>
      </c>
      <c r="H959" s="17" t="n">
        <v>15</v>
      </c>
      <c r="I959" s="18" t="n">
        <v>19</v>
      </c>
      <c r="J959" s="19" t="n">
        <v>40</v>
      </c>
      <c r="K959" s="20" t="n">
        <v>42</v>
      </c>
      <c r="L959" s="21" t="n">
        <v>44</v>
      </c>
      <c r="M959" s="22" t="n">
        <v>17</v>
      </c>
      <c r="N959" s="15" t="n">
        <f aca="false">SUMPRODUCT(COUNTIF(G959:L959,번호조회!$B$4:$B$9))</f>
        <v>0</v>
      </c>
    </row>
    <row r="960" customFormat="false" ht="16.5" hidden="false" customHeight="true" outlineLevel="0" collapsed="false">
      <c r="E960" s="1" t="n">
        <f aca="false">$E$13-($F$13-F960)*7</f>
        <v>39585</v>
      </c>
      <c r="F960" s="12" t="n">
        <v>285</v>
      </c>
      <c r="G960" s="16" t="n">
        <v>13</v>
      </c>
      <c r="H960" s="17" t="n">
        <v>33</v>
      </c>
      <c r="I960" s="18" t="n">
        <v>37</v>
      </c>
      <c r="J960" s="19" t="n">
        <v>40</v>
      </c>
      <c r="K960" s="20" t="n">
        <v>41</v>
      </c>
      <c r="L960" s="21" t="n">
        <v>45</v>
      </c>
      <c r="M960" s="22" t="n">
        <v>2</v>
      </c>
      <c r="N960" s="15" t="n">
        <f aca="false">SUMPRODUCT(COUNTIF(G960:L960,번호조회!$B$4:$B$9))</f>
        <v>0</v>
      </c>
    </row>
    <row r="961" customFormat="false" ht="16.5" hidden="false" customHeight="true" outlineLevel="0" collapsed="false">
      <c r="E961" s="1" t="n">
        <f aca="false">$E$13-($F$13-F961)*7</f>
        <v>39578</v>
      </c>
      <c r="F961" s="12" t="n">
        <v>284</v>
      </c>
      <c r="G961" s="16" t="n">
        <v>2</v>
      </c>
      <c r="H961" s="17" t="n">
        <v>7</v>
      </c>
      <c r="I961" s="18" t="n">
        <v>15</v>
      </c>
      <c r="J961" s="19" t="n">
        <v>24</v>
      </c>
      <c r="K961" s="20" t="n">
        <v>30</v>
      </c>
      <c r="L961" s="21" t="n">
        <v>45</v>
      </c>
      <c r="M961" s="22" t="n">
        <v>28</v>
      </c>
      <c r="N961" s="15" t="n">
        <f aca="false">SUMPRODUCT(COUNTIF(G961:L961,번호조회!$B$4:$B$9))</f>
        <v>0</v>
      </c>
    </row>
    <row r="962" customFormat="false" ht="16.5" hidden="false" customHeight="true" outlineLevel="0" collapsed="false">
      <c r="E962" s="1" t="n">
        <f aca="false">$E$13-($F$13-F962)*7</f>
        <v>39571</v>
      </c>
      <c r="F962" s="12" t="n">
        <v>283</v>
      </c>
      <c r="G962" s="16" t="n">
        <v>6</v>
      </c>
      <c r="H962" s="17" t="n">
        <v>8</v>
      </c>
      <c r="I962" s="18" t="n">
        <v>18</v>
      </c>
      <c r="J962" s="19" t="n">
        <v>31</v>
      </c>
      <c r="K962" s="20" t="n">
        <v>38</v>
      </c>
      <c r="L962" s="21" t="n">
        <v>45</v>
      </c>
      <c r="M962" s="22" t="n">
        <v>42</v>
      </c>
      <c r="N962" s="15" t="n">
        <f aca="false">SUMPRODUCT(COUNTIF(G962:L962,번호조회!$B$4:$B$9))</f>
        <v>0</v>
      </c>
    </row>
    <row r="963" customFormat="false" ht="16.5" hidden="false" customHeight="true" outlineLevel="0" collapsed="false">
      <c r="E963" s="1" t="n">
        <f aca="false">$E$13-($F$13-F963)*7</f>
        <v>39564</v>
      </c>
      <c r="F963" s="12" t="n">
        <v>282</v>
      </c>
      <c r="G963" s="16" t="n">
        <v>2</v>
      </c>
      <c r="H963" s="17" t="n">
        <v>5</v>
      </c>
      <c r="I963" s="18" t="n">
        <v>10</v>
      </c>
      <c r="J963" s="19" t="n">
        <v>18</v>
      </c>
      <c r="K963" s="20" t="n">
        <v>31</v>
      </c>
      <c r="L963" s="21" t="n">
        <v>32</v>
      </c>
      <c r="M963" s="22" t="n">
        <v>30</v>
      </c>
      <c r="N963" s="15" t="n">
        <f aca="false">SUMPRODUCT(COUNTIF(G963:L963,번호조회!$B$4:$B$9))</f>
        <v>0</v>
      </c>
    </row>
    <row r="964" customFormat="false" ht="16.5" hidden="false" customHeight="true" outlineLevel="0" collapsed="false">
      <c r="E964" s="1" t="n">
        <f aca="false">$E$13-($F$13-F964)*7</f>
        <v>39557</v>
      </c>
      <c r="F964" s="12" t="n">
        <v>281</v>
      </c>
      <c r="G964" s="16" t="n">
        <v>1</v>
      </c>
      <c r="H964" s="17" t="n">
        <v>3</v>
      </c>
      <c r="I964" s="18" t="n">
        <v>4</v>
      </c>
      <c r="J964" s="19" t="n">
        <v>6</v>
      </c>
      <c r="K964" s="20" t="n">
        <v>14</v>
      </c>
      <c r="L964" s="21" t="n">
        <v>41</v>
      </c>
      <c r="M964" s="22" t="n">
        <v>12</v>
      </c>
      <c r="N964" s="15" t="n">
        <f aca="false">SUMPRODUCT(COUNTIF(G964:L964,번호조회!$B$4:$B$9))</f>
        <v>0</v>
      </c>
    </row>
    <row r="965" customFormat="false" ht="16.5" hidden="false" customHeight="true" outlineLevel="0" collapsed="false">
      <c r="E965" s="1" t="n">
        <f aca="false">$E$13-($F$13-F965)*7</f>
        <v>39550</v>
      </c>
      <c r="F965" s="12" t="n">
        <v>280</v>
      </c>
      <c r="G965" s="16" t="n">
        <v>10</v>
      </c>
      <c r="H965" s="17" t="n">
        <v>11</v>
      </c>
      <c r="I965" s="18" t="n">
        <v>23</v>
      </c>
      <c r="J965" s="19" t="n">
        <v>24</v>
      </c>
      <c r="K965" s="20" t="n">
        <v>36</v>
      </c>
      <c r="L965" s="21" t="n">
        <v>37</v>
      </c>
      <c r="M965" s="22" t="n">
        <v>35</v>
      </c>
      <c r="N965" s="15" t="n">
        <f aca="false">SUMPRODUCT(COUNTIF(G965:L965,번호조회!$B$4:$B$9))</f>
        <v>0</v>
      </c>
    </row>
    <row r="966" customFormat="false" ht="16.5" hidden="false" customHeight="true" outlineLevel="0" collapsed="false">
      <c r="E966" s="1" t="n">
        <f aca="false">$E$13-($F$13-F966)*7</f>
        <v>39543</v>
      </c>
      <c r="F966" s="12" t="n">
        <v>279</v>
      </c>
      <c r="G966" s="16" t="n">
        <v>7</v>
      </c>
      <c r="H966" s="17" t="n">
        <v>16</v>
      </c>
      <c r="I966" s="18" t="n">
        <v>31</v>
      </c>
      <c r="J966" s="19" t="n">
        <v>36</v>
      </c>
      <c r="K966" s="20" t="n">
        <v>37</v>
      </c>
      <c r="L966" s="21" t="n">
        <v>38</v>
      </c>
      <c r="M966" s="22" t="n">
        <v>11</v>
      </c>
      <c r="N966" s="15" t="n">
        <f aca="false">SUMPRODUCT(COUNTIF(G966:L966,번호조회!$B$4:$B$9))</f>
        <v>0</v>
      </c>
    </row>
    <row r="967" customFormat="false" ht="16.5" hidden="false" customHeight="true" outlineLevel="0" collapsed="false">
      <c r="E967" s="1" t="n">
        <f aca="false">$E$13-($F$13-F967)*7</f>
        <v>39536</v>
      </c>
      <c r="F967" s="12" t="n">
        <v>278</v>
      </c>
      <c r="G967" s="16" t="n">
        <v>3</v>
      </c>
      <c r="H967" s="17" t="n">
        <v>11</v>
      </c>
      <c r="I967" s="18" t="n">
        <v>37</v>
      </c>
      <c r="J967" s="19" t="n">
        <v>39</v>
      </c>
      <c r="K967" s="20" t="n">
        <v>41</v>
      </c>
      <c r="L967" s="21" t="n">
        <v>43</v>
      </c>
      <c r="M967" s="22" t="n">
        <v>13</v>
      </c>
      <c r="N967" s="15" t="n">
        <f aca="false">SUMPRODUCT(COUNTIF(G967:L967,번호조회!$B$4:$B$9))</f>
        <v>0</v>
      </c>
    </row>
    <row r="968" customFormat="false" ht="16.5" hidden="false" customHeight="true" outlineLevel="0" collapsed="false">
      <c r="E968" s="1" t="n">
        <f aca="false">$E$13-($F$13-F968)*7</f>
        <v>39529</v>
      </c>
      <c r="F968" s="12" t="n">
        <v>277</v>
      </c>
      <c r="G968" s="16" t="n">
        <v>10</v>
      </c>
      <c r="H968" s="17" t="n">
        <v>12</v>
      </c>
      <c r="I968" s="18" t="n">
        <v>13</v>
      </c>
      <c r="J968" s="19" t="n">
        <v>15</v>
      </c>
      <c r="K968" s="20" t="n">
        <v>25</v>
      </c>
      <c r="L968" s="21" t="n">
        <v>29</v>
      </c>
      <c r="M968" s="22" t="n">
        <v>20</v>
      </c>
      <c r="N968" s="15" t="n">
        <f aca="false">SUMPRODUCT(COUNTIF(G968:L968,번호조회!$B$4:$B$9))</f>
        <v>0</v>
      </c>
    </row>
    <row r="969" customFormat="false" ht="16.5" hidden="false" customHeight="true" outlineLevel="0" collapsed="false">
      <c r="E969" s="1" t="n">
        <f aca="false">$E$13-($F$13-F969)*7</f>
        <v>39522</v>
      </c>
      <c r="F969" s="12" t="n">
        <v>276</v>
      </c>
      <c r="G969" s="16" t="n">
        <v>4</v>
      </c>
      <c r="H969" s="17" t="n">
        <v>15</v>
      </c>
      <c r="I969" s="18" t="n">
        <v>21</v>
      </c>
      <c r="J969" s="19" t="n">
        <v>33</v>
      </c>
      <c r="K969" s="20" t="n">
        <v>39</v>
      </c>
      <c r="L969" s="21" t="n">
        <v>41</v>
      </c>
      <c r="M969" s="22" t="n">
        <v>25</v>
      </c>
      <c r="N969" s="15" t="n">
        <f aca="false">SUMPRODUCT(COUNTIF(G969:L969,번호조회!$B$4:$B$9))</f>
        <v>0</v>
      </c>
    </row>
    <row r="970" customFormat="false" ht="16.5" hidden="false" customHeight="true" outlineLevel="0" collapsed="false">
      <c r="E970" s="1" t="n">
        <f aca="false">$E$13-($F$13-F970)*7</f>
        <v>39515</v>
      </c>
      <c r="F970" s="12" t="n">
        <v>275</v>
      </c>
      <c r="G970" s="16" t="n">
        <v>14</v>
      </c>
      <c r="H970" s="17" t="n">
        <v>19</v>
      </c>
      <c r="I970" s="18" t="n">
        <v>20</v>
      </c>
      <c r="J970" s="19" t="n">
        <v>35</v>
      </c>
      <c r="K970" s="20" t="n">
        <v>38</v>
      </c>
      <c r="L970" s="21" t="n">
        <v>40</v>
      </c>
      <c r="M970" s="22" t="n">
        <v>26</v>
      </c>
      <c r="N970" s="15" t="n">
        <f aca="false">SUMPRODUCT(COUNTIF(G970:L970,번호조회!$B$4:$B$9))</f>
        <v>0</v>
      </c>
    </row>
    <row r="971" customFormat="false" ht="16.5" hidden="false" customHeight="true" outlineLevel="0" collapsed="false">
      <c r="E971" s="1" t="n">
        <f aca="false">$E$13-($F$13-F971)*7</f>
        <v>39508</v>
      </c>
      <c r="F971" s="12" t="n">
        <v>274</v>
      </c>
      <c r="G971" s="16" t="n">
        <v>13</v>
      </c>
      <c r="H971" s="17" t="n">
        <v>14</v>
      </c>
      <c r="I971" s="18" t="n">
        <v>15</v>
      </c>
      <c r="J971" s="19" t="n">
        <v>26</v>
      </c>
      <c r="K971" s="20" t="n">
        <v>35</v>
      </c>
      <c r="L971" s="21" t="n">
        <v>39</v>
      </c>
      <c r="M971" s="22" t="n">
        <v>25</v>
      </c>
      <c r="N971" s="15" t="n">
        <f aca="false">SUMPRODUCT(COUNTIF(G971:L971,번호조회!$B$4:$B$9))</f>
        <v>0</v>
      </c>
    </row>
    <row r="972" customFormat="false" ht="16.5" hidden="false" customHeight="true" outlineLevel="0" collapsed="false">
      <c r="E972" s="1" t="n">
        <f aca="false">$E$13-($F$13-F972)*7</f>
        <v>39501</v>
      </c>
      <c r="F972" s="12" t="n">
        <v>273</v>
      </c>
      <c r="G972" s="16" t="n">
        <v>1</v>
      </c>
      <c r="H972" s="17" t="n">
        <v>8</v>
      </c>
      <c r="I972" s="18" t="n">
        <v>24</v>
      </c>
      <c r="J972" s="19" t="n">
        <v>31</v>
      </c>
      <c r="K972" s="20" t="n">
        <v>34</v>
      </c>
      <c r="L972" s="21" t="n">
        <v>44</v>
      </c>
      <c r="M972" s="22" t="n">
        <v>6</v>
      </c>
      <c r="N972" s="15" t="n">
        <f aca="false">SUMPRODUCT(COUNTIF(G972:L972,번호조회!$B$4:$B$9))</f>
        <v>0</v>
      </c>
    </row>
    <row r="973" customFormat="false" ht="16.5" hidden="false" customHeight="true" outlineLevel="0" collapsed="false">
      <c r="E973" s="1" t="n">
        <f aca="false">$E$13-($F$13-F973)*7</f>
        <v>39494</v>
      </c>
      <c r="F973" s="12" t="n">
        <v>272</v>
      </c>
      <c r="G973" s="16" t="n">
        <v>7</v>
      </c>
      <c r="H973" s="17" t="n">
        <v>9</v>
      </c>
      <c r="I973" s="18" t="n">
        <v>12</v>
      </c>
      <c r="J973" s="19" t="n">
        <v>27</v>
      </c>
      <c r="K973" s="20" t="n">
        <v>39</v>
      </c>
      <c r="L973" s="21" t="n">
        <v>43</v>
      </c>
      <c r="M973" s="22" t="n">
        <v>28</v>
      </c>
      <c r="N973" s="15" t="n">
        <f aca="false">SUMPRODUCT(COUNTIF(G973:L973,번호조회!$B$4:$B$9))</f>
        <v>0</v>
      </c>
    </row>
    <row r="974" customFormat="false" ht="16.5" hidden="false" customHeight="true" outlineLevel="0" collapsed="false">
      <c r="E974" s="1" t="n">
        <f aca="false">$E$13-($F$13-F974)*7</f>
        <v>39487</v>
      </c>
      <c r="F974" s="12" t="n">
        <v>271</v>
      </c>
      <c r="G974" s="16" t="n">
        <v>3</v>
      </c>
      <c r="H974" s="17" t="n">
        <v>8</v>
      </c>
      <c r="I974" s="18" t="n">
        <v>9</v>
      </c>
      <c r="J974" s="19" t="n">
        <v>27</v>
      </c>
      <c r="K974" s="20" t="n">
        <v>29</v>
      </c>
      <c r="L974" s="21" t="n">
        <v>40</v>
      </c>
      <c r="M974" s="22" t="n">
        <v>36</v>
      </c>
      <c r="N974" s="15" t="n">
        <f aca="false">SUMPRODUCT(COUNTIF(G974:L974,번호조회!$B$4:$B$9))</f>
        <v>0</v>
      </c>
    </row>
    <row r="975" customFormat="false" ht="16.5" hidden="false" customHeight="true" outlineLevel="0" collapsed="false">
      <c r="E975" s="1" t="n">
        <f aca="false">$E$13-($F$13-F975)*7</f>
        <v>39480</v>
      </c>
      <c r="F975" s="12" t="n">
        <v>270</v>
      </c>
      <c r="G975" s="16" t="n">
        <v>5</v>
      </c>
      <c r="H975" s="17" t="n">
        <v>9</v>
      </c>
      <c r="I975" s="18" t="n">
        <v>12</v>
      </c>
      <c r="J975" s="19" t="n">
        <v>20</v>
      </c>
      <c r="K975" s="20" t="n">
        <v>21</v>
      </c>
      <c r="L975" s="21" t="n">
        <v>26</v>
      </c>
      <c r="M975" s="22" t="n">
        <v>27</v>
      </c>
      <c r="N975" s="15" t="n">
        <f aca="false">SUMPRODUCT(COUNTIF(G975:L975,번호조회!$B$4:$B$9))</f>
        <v>0</v>
      </c>
    </row>
    <row r="976" customFormat="false" ht="16.5" hidden="false" customHeight="true" outlineLevel="0" collapsed="false">
      <c r="E976" s="1" t="n">
        <f aca="false">$E$13-($F$13-F976)*7</f>
        <v>39473</v>
      </c>
      <c r="F976" s="12" t="n">
        <v>269</v>
      </c>
      <c r="G976" s="16" t="n">
        <v>5</v>
      </c>
      <c r="H976" s="17" t="n">
        <v>18</v>
      </c>
      <c r="I976" s="18" t="n">
        <v>20</v>
      </c>
      <c r="J976" s="19" t="n">
        <v>36</v>
      </c>
      <c r="K976" s="20" t="n">
        <v>42</v>
      </c>
      <c r="L976" s="21" t="n">
        <v>43</v>
      </c>
      <c r="M976" s="22" t="n">
        <v>32</v>
      </c>
      <c r="N976" s="15" t="n">
        <f aca="false">SUMPRODUCT(COUNTIF(G976:L976,번호조회!$B$4:$B$9))</f>
        <v>0</v>
      </c>
    </row>
    <row r="977" customFormat="false" ht="16.5" hidden="false" customHeight="true" outlineLevel="0" collapsed="false">
      <c r="E977" s="1" t="n">
        <f aca="false">$E$13-($F$13-F977)*7</f>
        <v>39466</v>
      </c>
      <c r="F977" s="12" t="n">
        <v>268</v>
      </c>
      <c r="G977" s="16" t="n">
        <v>3</v>
      </c>
      <c r="H977" s="17" t="n">
        <v>10</v>
      </c>
      <c r="I977" s="18" t="n">
        <v>19</v>
      </c>
      <c r="J977" s="19" t="n">
        <v>24</v>
      </c>
      <c r="K977" s="20" t="n">
        <v>32</v>
      </c>
      <c r="L977" s="21" t="n">
        <v>45</v>
      </c>
      <c r="M977" s="22" t="n">
        <v>12</v>
      </c>
      <c r="N977" s="15" t="n">
        <f aca="false">SUMPRODUCT(COUNTIF(G977:L977,번호조회!$B$4:$B$9))</f>
        <v>0</v>
      </c>
    </row>
    <row r="978" customFormat="false" ht="16.5" hidden="false" customHeight="true" outlineLevel="0" collapsed="false">
      <c r="E978" s="1" t="n">
        <f aca="false">$E$13-($F$13-F978)*7</f>
        <v>39459</v>
      </c>
      <c r="F978" s="12" t="n">
        <v>267</v>
      </c>
      <c r="G978" s="16" t="n">
        <v>7</v>
      </c>
      <c r="H978" s="17" t="n">
        <v>8</v>
      </c>
      <c r="I978" s="18" t="n">
        <v>24</v>
      </c>
      <c r="J978" s="19" t="n">
        <v>34</v>
      </c>
      <c r="K978" s="20" t="n">
        <v>36</v>
      </c>
      <c r="L978" s="21" t="n">
        <v>41</v>
      </c>
      <c r="M978" s="22" t="n">
        <v>1</v>
      </c>
      <c r="N978" s="15" t="n">
        <f aca="false">SUMPRODUCT(COUNTIF(G978:L978,번호조회!$B$4:$B$9))</f>
        <v>0</v>
      </c>
    </row>
    <row r="979" customFormat="false" ht="16.5" hidden="false" customHeight="true" outlineLevel="0" collapsed="false">
      <c r="E979" s="1" t="n">
        <f aca="false">$E$13-($F$13-F979)*7</f>
        <v>39452</v>
      </c>
      <c r="F979" s="12" t="n">
        <v>266</v>
      </c>
      <c r="G979" s="16" t="n">
        <v>3</v>
      </c>
      <c r="H979" s="17" t="n">
        <v>4</v>
      </c>
      <c r="I979" s="18" t="n">
        <v>9</v>
      </c>
      <c r="J979" s="19" t="n">
        <v>11</v>
      </c>
      <c r="K979" s="20" t="n">
        <v>22</v>
      </c>
      <c r="L979" s="21" t="n">
        <v>42</v>
      </c>
      <c r="M979" s="22" t="n">
        <v>37</v>
      </c>
      <c r="N979" s="15" t="n">
        <f aca="false">SUMPRODUCT(COUNTIF(G979:L979,번호조회!$B$4:$B$9))</f>
        <v>0</v>
      </c>
    </row>
    <row r="980" customFormat="false" ht="16.5" hidden="false" customHeight="true" outlineLevel="0" collapsed="false">
      <c r="E980" s="1" t="n">
        <f aca="false">$E$13-($F$13-F980)*7</f>
        <v>39445</v>
      </c>
      <c r="F980" s="12" t="n">
        <v>265</v>
      </c>
      <c r="G980" s="16" t="n">
        <v>5</v>
      </c>
      <c r="H980" s="17" t="n">
        <v>9</v>
      </c>
      <c r="I980" s="18" t="n">
        <v>34</v>
      </c>
      <c r="J980" s="19" t="n">
        <v>37</v>
      </c>
      <c r="K980" s="20" t="n">
        <v>38</v>
      </c>
      <c r="L980" s="21" t="n">
        <v>39</v>
      </c>
      <c r="M980" s="22" t="n">
        <v>12</v>
      </c>
      <c r="N980" s="15" t="n">
        <f aca="false">SUMPRODUCT(COUNTIF(G980:L980,번호조회!$B$4:$B$9))</f>
        <v>0</v>
      </c>
    </row>
    <row r="981" customFormat="false" ht="16.5" hidden="false" customHeight="true" outlineLevel="0" collapsed="false">
      <c r="E981" s="1" t="n">
        <f aca="false">$E$13-($F$13-F981)*7</f>
        <v>39438</v>
      </c>
      <c r="F981" s="12" t="n">
        <v>264</v>
      </c>
      <c r="G981" s="16" t="n">
        <v>9</v>
      </c>
      <c r="H981" s="17" t="n">
        <v>16</v>
      </c>
      <c r="I981" s="18" t="n">
        <v>27</v>
      </c>
      <c r="J981" s="19" t="n">
        <v>36</v>
      </c>
      <c r="K981" s="20" t="n">
        <v>41</v>
      </c>
      <c r="L981" s="21" t="n">
        <v>44</v>
      </c>
      <c r="M981" s="22" t="n">
        <v>5</v>
      </c>
      <c r="N981" s="15" t="n">
        <f aca="false">SUMPRODUCT(COUNTIF(G981:L981,번호조회!$B$4:$B$9))</f>
        <v>0</v>
      </c>
    </row>
    <row r="982" customFormat="false" ht="16.5" hidden="false" customHeight="true" outlineLevel="0" collapsed="false">
      <c r="E982" s="1" t="n">
        <f aca="false">$E$13-($F$13-F982)*7</f>
        <v>39431</v>
      </c>
      <c r="F982" s="12" t="n">
        <v>263</v>
      </c>
      <c r="G982" s="16" t="n">
        <v>1</v>
      </c>
      <c r="H982" s="17" t="n">
        <v>27</v>
      </c>
      <c r="I982" s="18" t="n">
        <v>28</v>
      </c>
      <c r="J982" s="19" t="n">
        <v>32</v>
      </c>
      <c r="K982" s="20" t="n">
        <v>37</v>
      </c>
      <c r="L982" s="21" t="n">
        <v>40</v>
      </c>
      <c r="M982" s="22" t="n">
        <v>18</v>
      </c>
      <c r="N982" s="15" t="n">
        <f aca="false">SUMPRODUCT(COUNTIF(G982:L982,번호조회!$B$4:$B$9))</f>
        <v>0</v>
      </c>
    </row>
    <row r="983" customFormat="false" ht="16.5" hidden="false" customHeight="true" outlineLevel="0" collapsed="false">
      <c r="E983" s="1" t="n">
        <f aca="false">$E$13-($F$13-F983)*7</f>
        <v>39424</v>
      </c>
      <c r="F983" s="12" t="n">
        <v>262</v>
      </c>
      <c r="G983" s="16" t="n">
        <v>9</v>
      </c>
      <c r="H983" s="17" t="n">
        <v>12</v>
      </c>
      <c r="I983" s="18" t="n">
        <v>24</v>
      </c>
      <c r="J983" s="19" t="n">
        <v>25</v>
      </c>
      <c r="K983" s="20" t="n">
        <v>29</v>
      </c>
      <c r="L983" s="21" t="n">
        <v>31</v>
      </c>
      <c r="M983" s="22" t="n">
        <v>36</v>
      </c>
      <c r="N983" s="15" t="n">
        <f aca="false">SUMPRODUCT(COUNTIF(G983:L983,번호조회!$B$4:$B$9))</f>
        <v>0</v>
      </c>
    </row>
    <row r="984" customFormat="false" ht="16.5" hidden="false" customHeight="true" outlineLevel="0" collapsed="false">
      <c r="E984" s="1" t="n">
        <f aca="false">$E$13-($F$13-F984)*7</f>
        <v>39417</v>
      </c>
      <c r="F984" s="12" t="n">
        <v>261</v>
      </c>
      <c r="G984" s="16" t="n">
        <v>6</v>
      </c>
      <c r="H984" s="17" t="n">
        <v>11</v>
      </c>
      <c r="I984" s="18" t="n">
        <v>16</v>
      </c>
      <c r="J984" s="19" t="n">
        <v>18</v>
      </c>
      <c r="K984" s="20" t="n">
        <v>31</v>
      </c>
      <c r="L984" s="21" t="n">
        <v>43</v>
      </c>
      <c r="M984" s="22" t="n">
        <v>2</v>
      </c>
      <c r="N984" s="15" t="n">
        <f aca="false">SUMPRODUCT(COUNTIF(G984:L984,번호조회!$B$4:$B$9))</f>
        <v>0</v>
      </c>
    </row>
    <row r="985" customFormat="false" ht="16.5" hidden="false" customHeight="true" outlineLevel="0" collapsed="false">
      <c r="E985" s="1" t="n">
        <f aca="false">$E$13-($F$13-F985)*7</f>
        <v>39410</v>
      </c>
      <c r="F985" s="12" t="n">
        <v>260</v>
      </c>
      <c r="G985" s="16" t="n">
        <v>7</v>
      </c>
      <c r="H985" s="17" t="n">
        <v>12</v>
      </c>
      <c r="I985" s="18" t="n">
        <v>15</v>
      </c>
      <c r="J985" s="19" t="n">
        <v>24</v>
      </c>
      <c r="K985" s="20" t="n">
        <v>37</v>
      </c>
      <c r="L985" s="21" t="n">
        <v>40</v>
      </c>
      <c r="M985" s="22" t="n">
        <v>43</v>
      </c>
      <c r="N985" s="15" t="n">
        <f aca="false">SUMPRODUCT(COUNTIF(G985:L985,번호조회!$B$4:$B$9))</f>
        <v>0</v>
      </c>
    </row>
    <row r="986" customFormat="false" ht="16.5" hidden="false" customHeight="true" outlineLevel="0" collapsed="false">
      <c r="E986" s="1" t="n">
        <f aca="false">$E$13-($F$13-F986)*7</f>
        <v>39403</v>
      </c>
      <c r="F986" s="12" t="n">
        <v>259</v>
      </c>
      <c r="G986" s="16" t="n">
        <v>4</v>
      </c>
      <c r="H986" s="17" t="n">
        <v>5</v>
      </c>
      <c r="I986" s="18" t="n">
        <v>14</v>
      </c>
      <c r="J986" s="19" t="n">
        <v>35</v>
      </c>
      <c r="K986" s="20" t="n">
        <v>42</v>
      </c>
      <c r="L986" s="21" t="n">
        <v>45</v>
      </c>
      <c r="M986" s="22" t="n">
        <v>34</v>
      </c>
      <c r="N986" s="15" t="n">
        <f aca="false">SUMPRODUCT(COUNTIF(G986:L986,번호조회!$B$4:$B$9))</f>
        <v>0</v>
      </c>
    </row>
    <row r="987" customFormat="false" ht="16.5" hidden="false" customHeight="true" outlineLevel="0" collapsed="false">
      <c r="E987" s="1" t="n">
        <f aca="false">$E$13-($F$13-F987)*7</f>
        <v>39396</v>
      </c>
      <c r="F987" s="12" t="n">
        <v>258</v>
      </c>
      <c r="G987" s="16" t="n">
        <v>14</v>
      </c>
      <c r="H987" s="17" t="n">
        <v>27</v>
      </c>
      <c r="I987" s="18" t="n">
        <v>30</v>
      </c>
      <c r="J987" s="19" t="n">
        <v>31</v>
      </c>
      <c r="K987" s="20" t="n">
        <v>38</v>
      </c>
      <c r="L987" s="21" t="n">
        <v>40</v>
      </c>
      <c r="M987" s="22" t="n">
        <v>17</v>
      </c>
      <c r="N987" s="15" t="n">
        <f aca="false">SUMPRODUCT(COUNTIF(G987:L987,번호조회!$B$4:$B$9))</f>
        <v>0</v>
      </c>
    </row>
    <row r="988" customFormat="false" ht="16.5" hidden="false" customHeight="true" outlineLevel="0" collapsed="false">
      <c r="E988" s="1" t="n">
        <f aca="false">$E$13-($F$13-F988)*7</f>
        <v>39389</v>
      </c>
      <c r="F988" s="12" t="n">
        <v>257</v>
      </c>
      <c r="G988" s="16" t="n">
        <v>6</v>
      </c>
      <c r="H988" s="17" t="n">
        <v>13</v>
      </c>
      <c r="I988" s="18" t="n">
        <v>27</v>
      </c>
      <c r="J988" s="19" t="n">
        <v>31</v>
      </c>
      <c r="K988" s="20" t="n">
        <v>32</v>
      </c>
      <c r="L988" s="21" t="n">
        <v>37</v>
      </c>
      <c r="M988" s="22" t="n">
        <v>4</v>
      </c>
      <c r="N988" s="15" t="n">
        <f aca="false">SUMPRODUCT(COUNTIF(G988:L988,번호조회!$B$4:$B$9))</f>
        <v>0</v>
      </c>
    </row>
    <row r="989" customFormat="false" ht="16.5" hidden="false" customHeight="true" outlineLevel="0" collapsed="false">
      <c r="E989" s="1" t="n">
        <f aca="false">$E$13-($F$13-F989)*7</f>
        <v>39382</v>
      </c>
      <c r="F989" s="12" t="n">
        <v>256</v>
      </c>
      <c r="G989" s="16" t="n">
        <v>4</v>
      </c>
      <c r="H989" s="17" t="n">
        <v>11</v>
      </c>
      <c r="I989" s="18" t="n">
        <v>14</v>
      </c>
      <c r="J989" s="19" t="n">
        <v>21</v>
      </c>
      <c r="K989" s="20" t="n">
        <v>23</v>
      </c>
      <c r="L989" s="21" t="n">
        <v>43</v>
      </c>
      <c r="M989" s="22" t="n">
        <v>32</v>
      </c>
      <c r="N989" s="15" t="n">
        <f aca="false">SUMPRODUCT(COUNTIF(G989:L989,번호조회!$B$4:$B$9))</f>
        <v>0</v>
      </c>
    </row>
    <row r="990" customFormat="false" ht="16.5" hidden="false" customHeight="true" outlineLevel="0" collapsed="false">
      <c r="E990" s="1" t="n">
        <f aca="false">$E$13-($F$13-F990)*7</f>
        <v>39375</v>
      </c>
      <c r="F990" s="12" t="n">
        <v>255</v>
      </c>
      <c r="G990" s="16" t="n">
        <v>1</v>
      </c>
      <c r="H990" s="17" t="n">
        <v>5</v>
      </c>
      <c r="I990" s="18" t="n">
        <v>6</v>
      </c>
      <c r="J990" s="19" t="n">
        <v>24</v>
      </c>
      <c r="K990" s="20" t="n">
        <v>27</v>
      </c>
      <c r="L990" s="21" t="n">
        <v>42</v>
      </c>
      <c r="M990" s="22" t="n">
        <v>32</v>
      </c>
      <c r="N990" s="15" t="n">
        <f aca="false">SUMPRODUCT(COUNTIF(G990:L990,번호조회!$B$4:$B$9))</f>
        <v>0</v>
      </c>
    </row>
    <row r="991" customFormat="false" ht="16.5" hidden="false" customHeight="true" outlineLevel="0" collapsed="false">
      <c r="E991" s="1" t="n">
        <f aca="false">$E$13-($F$13-F991)*7</f>
        <v>39368</v>
      </c>
      <c r="F991" s="12" t="n">
        <v>254</v>
      </c>
      <c r="G991" s="16" t="n">
        <v>1</v>
      </c>
      <c r="H991" s="17" t="n">
        <v>5</v>
      </c>
      <c r="I991" s="18" t="n">
        <v>19</v>
      </c>
      <c r="J991" s="19" t="n">
        <v>20</v>
      </c>
      <c r="K991" s="20" t="n">
        <v>24</v>
      </c>
      <c r="L991" s="21" t="n">
        <v>30</v>
      </c>
      <c r="M991" s="22" t="n">
        <v>27</v>
      </c>
      <c r="N991" s="15" t="n">
        <f aca="false">SUMPRODUCT(COUNTIF(G991:L991,번호조회!$B$4:$B$9))</f>
        <v>0</v>
      </c>
    </row>
    <row r="992" customFormat="false" ht="16.5" hidden="false" customHeight="true" outlineLevel="0" collapsed="false">
      <c r="E992" s="1" t="n">
        <f aca="false">$E$13-($F$13-F992)*7</f>
        <v>39361</v>
      </c>
      <c r="F992" s="12" t="n">
        <v>253</v>
      </c>
      <c r="G992" s="16" t="n">
        <v>8</v>
      </c>
      <c r="H992" s="17" t="n">
        <v>19</v>
      </c>
      <c r="I992" s="18" t="n">
        <v>25</v>
      </c>
      <c r="J992" s="19" t="n">
        <v>31</v>
      </c>
      <c r="K992" s="20" t="n">
        <v>34</v>
      </c>
      <c r="L992" s="21" t="n">
        <v>36</v>
      </c>
      <c r="M992" s="22" t="n">
        <v>33</v>
      </c>
      <c r="N992" s="15" t="n">
        <f aca="false">SUMPRODUCT(COUNTIF(G992:L992,번호조회!$B$4:$B$9))</f>
        <v>0</v>
      </c>
    </row>
    <row r="993" customFormat="false" ht="16.5" hidden="false" customHeight="true" outlineLevel="0" collapsed="false">
      <c r="E993" s="1" t="n">
        <f aca="false">$E$13-($F$13-F993)*7</f>
        <v>39354</v>
      </c>
      <c r="F993" s="12" t="n">
        <v>252</v>
      </c>
      <c r="G993" s="16" t="n">
        <v>14</v>
      </c>
      <c r="H993" s="17" t="n">
        <v>23</v>
      </c>
      <c r="I993" s="18" t="n">
        <v>26</v>
      </c>
      <c r="J993" s="19" t="n">
        <v>31</v>
      </c>
      <c r="K993" s="20" t="n">
        <v>39</v>
      </c>
      <c r="L993" s="21" t="n">
        <v>45</v>
      </c>
      <c r="M993" s="22" t="n">
        <v>28</v>
      </c>
      <c r="N993" s="15" t="n">
        <f aca="false">SUMPRODUCT(COUNTIF(G993:L993,번호조회!$B$4:$B$9))</f>
        <v>0</v>
      </c>
    </row>
    <row r="994" customFormat="false" ht="16.5" hidden="false" customHeight="true" outlineLevel="0" collapsed="false">
      <c r="E994" s="1" t="n">
        <f aca="false">$E$13-($F$13-F994)*7</f>
        <v>39347</v>
      </c>
      <c r="F994" s="12" t="n">
        <v>251</v>
      </c>
      <c r="G994" s="16" t="n">
        <v>6</v>
      </c>
      <c r="H994" s="17" t="n">
        <v>7</v>
      </c>
      <c r="I994" s="18" t="n">
        <v>19</v>
      </c>
      <c r="J994" s="19" t="n">
        <v>25</v>
      </c>
      <c r="K994" s="20" t="n">
        <v>28</v>
      </c>
      <c r="L994" s="21" t="n">
        <v>38</v>
      </c>
      <c r="M994" s="22" t="n">
        <v>45</v>
      </c>
      <c r="N994" s="15" t="n">
        <f aca="false">SUMPRODUCT(COUNTIF(G994:L994,번호조회!$B$4:$B$9))</f>
        <v>0</v>
      </c>
    </row>
    <row r="995" customFormat="false" ht="16.5" hidden="false" customHeight="true" outlineLevel="0" collapsed="false">
      <c r="E995" s="1" t="n">
        <f aca="false">$E$13-($F$13-F995)*7</f>
        <v>39340</v>
      </c>
      <c r="F995" s="12" t="n">
        <v>250</v>
      </c>
      <c r="G995" s="16" t="n">
        <v>19</v>
      </c>
      <c r="H995" s="17" t="n">
        <v>23</v>
      </c>
      <c r="I995" s="18" t="n">
        <v>30</v>
      </c>
      <c r="J995" s="19" t="n">
        <v>37</v>
      </c>
      <c r="K995" s="20" t="n">
        <v>43</v>
      </c>
      <c r="L995" s="21" t="n">
        <v>45</v>
      </c>
      <c r="M995" s="22" t="n">
        <v>38</v>
      </c>
      <c r="N995" s="15" t="n">
        <f aca="false">SUMPRODUCT(COUNTIF(G995:L995,번호조회!$B$4:$B$9))</f>
        <v>0</v>
      </c>
    </row>
    <row r="996" customFormat="false" ht="16.5" hidden="false" customHeight="true" outlineLevel="0" collapsed="false">
      <c r="E996" s="1" t="n">
        <f aca="false">$E$13-($F$13-F996)*7</f>
        <v>39333</v>
      </c>
      <c r="F996" s="12" t="n">
        <v>249</v>
      </c>
      <c r="G996" s="16" t="n">
        <v>3</v>
      </c>
      <c r="H996" s="17" t="n">
        <v>8</v>
      </c>
      <c r="I996" s="18" t="n">
        <v>27</v>
      </c>
      <c r="J996" s="19" t="n">
        <v>31</v>
      </c>
      <c r="K996" s="20" t="n">
        <v>41</v>
      </c>
      <c r="L996" s="21" t="n">
        <v>44</v>
      </c>
      <c r="M996" s="22" t="n">
        <v>11</v>
      </c>
      <c r="N996" s="15" t="n">
        <f aca="false">SUMPRODUCT(COUNTIF(G996:L996,번호조회!$B$4:$B$9))</f>
        <v>0</v>
      </c>
    </row>
    <row r="997" customFormat="false" ht="16.5" hidden="false" customHeight="true" outlineLevel="0" collapsed="false">
      <c r="E997" s="1" t="n">
        <f aca="false">$E$13-($F$13-F997)*7</f>
        <v>39326</v>
      </c>
      <c r="F997" s="12" t="n">
        <v>248</v>
      </c>
      <c r="G997" s="16" t="n">
        <v>3</v>
      </c>
      <c r="H997" s="17" t="n">
        <v>8</v>
      </c>
      <c r="I997" s="18" t="n">
        <v>17</v>
      </c>
      <c r="J997" s="19" t="n">
        <v>23</v>
      </c>
      <c r="K997" s="20" t="n">
        <v>38</v>
      </c>
      <c r="L997" s="21" t="n">
        <v>45</v>
      </c>
      <c r="M997" s="22" t="n">
        <v>13</v>
      </c>
      <c r="N997" s="15" t="n">
        <f aca="false">SUMPRODUCT(COUNTIF(G997:L997,번호조회!$B$4:$B$9))</f>
        <v>0</v>
      </c>
    </row>
    <row r="998" customFormat="false" ht="16.5" hidden="false" customHeight="true" outlineLevel="0" collapsed="false">
      <c r="E998" s="1" t="n">
        <f aca="false">$E$13-($F$13-F998)*7</f>
        <v>39319</v>
      </c>
      <c r="F998" s="12" t="n">
        <v>247</v>
      </c>
      <c r="G998" s="16" t="n">
        <v>12</v>
      </c>
      <c r="H998" s="17" t="n">
        <v>15</v>
      </c>
      <c r="I998" s="18" t="n">
        <v>28</v>
      </c>
      <c r="J998" s="19" t="n">
        <v>36</v>
      </c>
      <c r="K998" s="20" t="n">
        <v>39</v>
      </c>
      <c r="L998" s="21" t="n">
        <v>40</v>
      </c>
      <c r="M998" s="22" t="n">
        <v>13</v>
      </c>
      <c r="N998" s="15" t="n">
        <f aca="false">SUMPRODUCT(COUNTIF(G998:L998,번호조회!$B$4:$B$9))</f>
        <v>0</v>
      </c>
    </row>
    <row r="999" customFormat="false" ht="16.5" hidden="false" customHeight="true" outlineLevel="0" collapsed="false">
      <c r="E999" s="1" t="n">
        <f aca="false">$E$13-($F$13-F999)*7</f>
        <v>39312</v>
      </c>
      <c r="F999" s="12" t="n">
        <v>246</v>
      </c>
      <c r="G999" s="16" t="n">
        <v>13</v>
      </c>
      <c r="H999" s="17" t="n">
        <v>18</v>
      </c>
      <c r="I999" s="18" t="n">
        <v>21</v>
      </c>
      <c r="J999" s="19" t="n">
        <v>23</v>
      </c>
      <c r="K999" s="20" t="n">
        <v>26</v>
      </c>
      <c r="L999" s="21" t="n">
        <v>39</v>
      </c>
      <c r="M999" s="22" t="n">
        <v>15</v>
      </c>
      <c r="N999" s="15" t="n">
        <f aca="false">SUMPRODUCT(COUNTIF(G999:L999,번호조회!$B$4:$B$9))</f>
        <v>0</v>
      </c>
    </row>
    <row r="1000" customFormat="false" ht="16.5" hidden="false" customHeight="true" outlineLevel="0" collapsed="false">
      <c r="E1000" s="1" t="n">
        <f aca="false">$E$13-($F$13-F1000)*7</f>
        <v>39305</v>
      </c>
      <c r="F1000" s="12" t="n">
        <v>245</v>
      </c>
      <c r="G1000" s="16" t="n">
        <v>9</v>
      </c>
      <c r="H1000" s="17" t="n">
        <v>11</v>
      </c>
      <c r="I1000" s="18" t="n">
        <v>27</v>
      </c>
      <c r="J1000" s="19" t="n">
        <v>31</v>
      </c>
      <c r="K1000" s="20" t="n">
        <v>32</v>
      </c>
      <c r="L1000" s="21" t="n">
        <v>38</v>
      </c>
      <c r="M1000" s="22" t="n">
        <v>22</v>
      </c>
      <c r="N1000" s="15" t="n">
        <f aca="false">SUMPRODUCT(COUNTIF(G1000:L1000,번호조회!$B$4:$B$9))</f>
        <v>0</v>
      </c>
    </row>
    <row r="1001" customFormat="false" ht="16.5" hidden="false" customHeight="true" outlineLevel="0" collapsed="false">
      <c r="E1001" s="1" t="n">
        <f aca="false">$E$13-($F$13-F1001)*7</f>
        <v>39298</v>
      </c>
      <c r="F1001" s="12" t="n">
        <v>244</v>
      </c>
      <c r="G1001" s="16" t="n">
        <v>13</v>
      </c>
      <c r="H1001" s="17" t="n">
        <v>16</v>
      </c>
      <c r="I1001" s="18" t="n">
        <v>25</v>
      </c>
      <c r="J1001" s="19" t="n">
        <v>36</v>
      </c>
      <c r="K1001" s="20" t="n">
        <v>37</v>
      </c>
      <c r="L1001" s="21" t="n">
        <v>38</v>
      </c>
      <c r="M1001" s="22" t="n">
        <v>19</v>
      </c>
      <c r="N1001" s="15" t="n">
        <f aca="false">SUMPRODUCT(COUNTIF(G1001:L1001,번호조회!$B$4:$B$9))</f>
        <v>0</v>
      </c>
    </row>
    <row r="1002" customFormat="false" ht="16.5" hidden="false" customHeight="true" outlineLevel="0" collapsed="false">
      <c r="E1002" s="1" t="n">
        <f aca="false">$E$13-($F$13-F1002)*7</f>
        <v>39291</v>
      </c>
      <c r="F1002" s="12" t="n">
        <v>243</v>
      </c>
      <c r="G1002" s="16" t="n">
        <v>2</v>
      </c>
      <c r="H1002" s="17" t="n">
        <v>12</v>
      </c>
      <c r="I1002" s="18" t="n">
        <v>17</v>
      </c>
      <c r="J1002" s="19" t="n">
        <v>19</v>
      </c>
      <c r="K1002" s="20" t="n">
        <v>28</v>
      </c>
      <c r="L1002" s="21" t="n">
        <v>42</v>
      </c>
      <c r="M1002" s="22" t="n">
        <v>34</v>
      </c>
      <c r="N1002" s="15" t="n">
        <f aca="false">SUMPRODUCT(COUNTIF(G1002:L1002,번호조회!$B$4:$B$9))</f>
        <v>0</v>
      </c>
    </row>
    <row r="1003" customFormat="false" ht="16.5" hidden="false" customHeight="true" outlineLevel="0" collapsed="false">
      <c r="E1003" s="1" t="n">
        <f aca="false">$E$13-($F$13-F1003)*7</f>
        <v>39284</v>
      </c>
      <c r="F1003" s="12" t="n">
        <v>242</v>
      </c>
      <c r="G1003" s="16" t="n">
        <v>4</v>
      </c>
      <c r="H1003" s="17" t="n">
        <v>19</v>
      </c>
      <c r="I1003" s="18" t="n">
        <v>20</v>
      </c>
      <c r="J1003" s="19" t="n">
        <v>21</v>
      </c>
      <c r="K1003" s="20" t="n">
        <v>32</v>
      </c>
      <c r="L1003" s="21" t="n">
        <v>34</v>
      </c>
      <c r="M1003" s="22" t="n">
        <v>43</v>
      </c>
      <c r="N1003" s="15" t="n">
        <f aca="false">SUMPRODUCT(COUNTIF(G1003:L1003,번호조회!$B$4:$B$9))</f>
        <v>0</v>
      </c>
    </row>
    <row r="1004" customFormat="false" ht="16.5" hidden="false" customHeight="true" outlineLevel="0" collapsed="false">
      <c r="E1004" s="1" t="n">
        <f aca="false">$E$13-($F$13-F1004)*7</f>
        <v>39277</v>
      </c>
      <c r="F1004" s="12" t="n">
        <v>241</v>
      </c>
      <c r="G1004" s="16" t="n">
        <v>2</v>
      </c>
      <c r="H1004" s="17" t="n">
        <v>16</v>
      </c>
      <c r="I1004" s="18" t="n">
        <v>24</v>
      </c>
      <c r="J1004" s="19" t="n">
        <v>27</v>
      </c>
      <c r="K1004" s="20" t="n">
        <v>28</v>
      </c>
      <c r="L1004" s="21" t="n">
        <v>35</v>
      </c>
      <c r="M1004" s="22" t="n">
        <v>21</v>
      </c>
      <c r="N1004" s="15" t="n">
        <f aca="false">SUMPRODUCT(COUNTIF(G1004:L1004,번호조회!$B$4:$B$9))</f>
        <v>0</v>
      </c>
    </row>
    <row r="1005" customFormat="false" ht="16.5" hidden="false" customHeight="true" outlineLevel="0" collapsed="false">
      <c r="E1005" s="1" t="n">
        <f aca="false">$E$13-($F$13-F1005)*7</f>
        <v>39270</v>
      </c>
      <c r="F1005" s="12" t="n">
        <v>240</v>
      </c>
      <c r="G1005" s="16" t="n">
        <v>6</v>
      </c>
      <c r="H1005" s="17" t="n">
        <v>10</v>
      </c>
      <c r="I1005" s="18" t="n">
        <v>16</v>
      </c>
      <c r="J1005" s="19" t="n">
        <v>40</v>
      </c>
      <c r="K1005" s="20" t="n">
        <v>41</v>
      </c>
      <c r="L1005" s="21" t="n">
        <v>43</v>
      </c>
      <c r="M1005" s="22" t="n">
        <v>21</v>
      </c>
      <c r="N1005" s="15" t="n">
        <f aca="false">SUMPRODUCT(COUNTIF(G1005:L1005,번호조회!$B$4:$B$9))</f>
        <v>0</v>
      </c>
    </row>
    <row r="1006" customFormat="false" ht="16.5" hidden="false" customHeight="true" outlineLevel="0" collapsed="false">
      <c r="E1006" s="1" t="n">
        <f aca="false">$E$13-($F$13-F1006)*7</f>
        <v>39263</v>
      </c>
      <c r="F1006" s="12" t="n">
        <v>239</v>
      </c>
      <c r="G1006" s="16" t="n">
        <v>11</v>
      </c>
      <c r="H1006" s="17" t="n">
        <v>15</v>
      </c>
      <c r="I1006" s="18" t="n">
        <v>24</v>
      </c>
      <c r="J1006" s="19" t="n">
        <v>39</v>
      </c>
      <c r="K1006" s="20" t="n">
        <v>41</v>
      </c>
      <c r="L1006" s="21" t="n">
        <v>44</v>
      </c>
      <c r="M1006" s="22" t="n">
        <v>7</v>
      </c>
      <c r="N1006" s="15" t="n">
        <f aca="false">SUMPRODUCT(COUNTIF(G1006:L1006,번호조회!$B$4:$B$9))</f>
        <v>0</v>
      </c>
    </row>
    <row r="1007" customFormat="false" ht="16.5" hidden="false" customHeight="true" outlineLevel="0" collapsed="false">
      <c r="E1007" s="1" t="n">
        <f aca="false">$E$13-($F$13-F1007)*7</f>
        <v>39256</v>
      </c>
      <c r="F1007" s="12" t="n">
        <v>238</v>
      </c>
      <c r="G1007" s="16" t="n">
        <v>2</v>
      </c>
      <c r="H1007" s="17" t="n">
        <v>4</v>
      </c>
      <c r="I1007" s="18" t="n">
        <v>15</v>
      </c>
      <c r="J1007" s="19" t="n">
        <v>28</v>
      </c>
      <c r="K1007" s="20" t="n">
        <v>31</v>
      </c>
      <c r="L1007" s="21" t="n">
        <v>34</v>
      </c>
      <c r="M1007" s="22" t="n">
        <v>35</v>
      </c>
      <c r="N1007" s="15" t="n">
        <f aca="false">SUMPRODUCT(COUNTIF(G1007:L1007,번호조회!$B$4:$B$9))</f>
        <v>0</v>
      </c>
    </row>
    <row r="1008" customFormat="false" ht="16.5" hidden="false" customHeight="true" outlineLevel="0" collapsed="false">
      <c r="E1008" s="1" t="n">
        <f aca="false">$E$13-($F$13-F1008)*7</f>
        <v>39249</v>
      </c>
      <c r="F1008" s="12" t="n">
        <v>237</v>
      </c>
      <c r="G1008" s="16" t="n">
        <v>1</v>
      </c>
      <c r="H1008" s="17" t="n">
        <v>11</v>
      </c>
      <c r="I1008" s="18" t="n">
        <v>17</v>
      </c>
      <c r="J1008" s="19" t="n">
        <v>21</v>
      </c>
      <c r="K1008" s="20" t="n">
        <v>24</v>
      </c>
      <c r="L1008" s="21" t="n">
        <v>44</v>
      </c>
      <c r="M1008" s="22" t="n">
        <v>33</v>
      </c>
      <c r="N1008" s="15" t="n">
        <f aca="false">SUMPRODUCT(COUNTIF(G1008:L1008,번호조회!$B$4:$B$9))</f>
        <v>0</v>
      </c>
    </row>
    <row r="1009" customFormat="false" ht="16.5" hidden="false" customHeight="true" outlineLevel="0" collapsed="false">
      <c r="E1009" s="1" t="n">
        <f aca="false">$E$13-($F$13-F1009)*7</f>
        <v>39242</v>
      </c>
      <c r="F1009" s="12" t="n">
        <v>236</v>
      </c>
      <c r="G1009" s="16" t="n">
        <v>1</v>
      </c>
      <c r="H1009" s="17" t="n">
        <v>4</v>
      </c>
      <c r="I1009" s="18" t="n">
        <v>8</v>
      </c>
      <c r="J1009" s="19" t="n">
        <v>13</v>
      </c>
      <c r="K1009" s="20" t="n">
        <v>37</v>
      </c>
      <c r="L1009" s="21" t="n">
        <v>39</v>
      </c>
      <c r="M1009" s="22" t="n">
        <v>7</v>
      </c>
      <c r="N1009" s="15" t="n">
        <f aca="false">SUMPRODUCT(COUNTIF(G1009:L1009,번호조회!$B$4:$B$9))</f>
        <v>0</v>
      </c>
    </row>
    <row r="1010" customFormat="false" ht="16.5" hidden="false" customHeight="true" outlineLevel="0" collapsed="false">
      <c r="E1010" s="1" t="n">
        <f aca="false">$E$13-($F$13-F1010)*7</f>
        <v>39235</v>
      </c>
      <c r="F1010" s="12" t="n">
        <v>235</v>
      </c>
      <c r="G1010" s="16" t="n">
        <v>21</v>
      </c>
      <c r="H1010" s="17" t="n">
        <v>22</v>
      </c>
      <c r="I1010" s="18" t="n">
        <v>26</v>
      </c>
      <c r="J1010" s="19" t="n">
        <v>27</v>
      </c>
      <c r="K1010" s="20" t="n">
        <v>31</v>
      </c>
      <c r="L1010" s="21" t="n">
        <v>37</v>
      </c>
      <c r="M1010" s="22" t="n">
        <v>8</v>
      </c>
      <c r="N1010" s="15" t="n">
        <f aca="false">SUMPRODUCT(COUNTIF(G1010:L1010,번호조회!$B$4:$B$9))</f>
        <v>0</v>
      </c>
    </row>
    <row r="1011" customFormat="false" ht="16.5" hidden="false" customHeight="true" outlineLevel="0" collapsed="false">
      <c r="E1011" s="1" t="n">
        <f aca="false">$E$13-($F$13-F1011)*7</f>
        <v>39228</v>
      </c>
      <c r="F1011" s="12" t="n">
        <v>234</v>
      </c>
      <c r="G1011" s="16" t="n">
        <v>13</v>
      </c>
      <c r="H1011" s="17" t="n">
        <v>21</v>
      </c>
      <c r="I1011" s="18" t="n">
        <v>22</v>
      </c>
      <c r="J1011" s="19" t="n">
        <v>24</v>
      </c>
      <c r="K1011" s="20" t="n">
        <v>26</v>
      </c>
      <c r="L1011" s="21" t="n">
        <v>37</v>
      </c>
      <c r="M1011" s="22" t="n">
        <v>4</v>
      </c>
      <c r="N1011" s="15" t="n">
        <f aca="false">SUMPRODUCT(COUNTIF(G1011:L1011,번호조회!$B$4:$B$9))</f>
        <v>0</v>
      </c>
    </row>
    <row r="1012" customFormat="false" ht="16.5" hidden="false" customHeight="true" outlineLevel="0" collapsed="false">
      <c r="E1012" s="1" t="n">
        <f aca="false">$E$13-($F$13-F1012)*7</f>
        <v>39221</v>
      </c>
      <c r="F1012" s="12" t="n">
        <v>233</v>
      </c>
      <c r="G1012" s="16" t="n">
        <v>4</v>
      </c>
      <c r="H1012" s="17" t="n">
        <v>6</v>
      </c>
      <c r="I1012" s="18" t="n">
        <v>13</v>
      </c>
      <c r="J1012" s="19" t="n">
        <v>17</v>
      </c>
      <c r="K1012" s="20" t="n">
        <v>28</v>
      </c>
      <c r="L1012" s="21" t="n">
        <v>40</v>
      </c>
      <c r="M1012" s="22" t="n">
        <v>39</v>
      </c>
      <c r="N1012" s="15" t="n">
        <f aca="false">SUMPRODUCT(COUNTIF(G1012:L1012,번호조회!$B$4:$B$9))</f>
        <v>0</v>
      </c>
    </row>
    <row r="1013" customFormat="false" ht="16.5" hidden="false" customHeight="true" outlineLevel="0" collapsed="false">
      <c r="E1013" s="1" t="n">
        <f aca="false">$E$13-($F$13-F1013)*7</f>
        <v>39214</v>
      </c>
      <c r="F1013" s="12" t="n">
        <v>232</v>
      </c>
      <c r="G1013" s="16" t="n">
        <v>8</v>
      </c>
      <c r="H1013" s="17" t="n">
        <v>9</v>
      </c>
      <c r="I1013" s="18" t="n">
        <v>10</v>
      </c>
      <c r="J1013" s="19" t="n">
        <v>12</v>
      </c>
      <c r="K1013" s="20" t="n">
        <v>24</v>
      </c>
      <c r="L1013" s="21" t="n">
        <v>44</v>
      </c>
      <c r="M1013" s="22" t="n">
        <v>35</v>
      </c>
      <c r="N1013" s="15" t="n">
        <f aca="false">SUMPRODUCT(COUNTIF(G1013:L1013,번호조회!$B$4:$B$9))</f>
        <v>0</v>
      </c>
    </row>
    <row r="1014" customFormat="false" ht="16.5" hidden="false" customHeight="true" outlineLevel="0" collapsed="false">
      <c r="E1014" s="1" t="n">
        <f aca="false">$E$13-($F$13-F1014)*7</f>
        <v>39207</v>
      </c>
      <c r="F1014" s="12" t="n">
        <v>231</v>
      </c>
      <c r="G1014" s="16" t="n">
        <v>5</v>
      </c>
      <c r="H1014" s="17" t="n">
        <v>10</v>
      </c>
      <c r="I1014" s="18" t="n">
        <v>19</v>
      </c>
      <c r="J1014" s="19" t="n">
        <v>31</v>
      </c>
      <c r="K1014" s="20" t="n">
        <v>44</v>
      </c>
      <c r="L1014" s="21" t="n">
        <v>45</v>
      </c>
      <c r="M1014" s="22" t="n">
        <v>27</v>
      </c>
      <c r="N1014" s="15" t="n">
        <f aca="false">SUMPRODUCT(COUNTIF(G1014:L1014,번호조회!$B$4:$B$9))</f>
        <v>0</v>
      </c>
    </row>
    <row r="1015" customFormat="false" ht="16.5" hidden="false" customHeight="true" outlineLevel="0" collapsed="false">
      <c r="E1015" s="1" t="n">
        <f aca="false">$E$13-($F$13-F1015)*7</f>
        <v>39200</v>
      </c>
      <c r="F1015" s="12" t="n">
        <v>230</v>
      </c>
      <c r="G1015" s="16" t="n">
        <v>5</v>
      </c>
      <c r="H1015" s="17" t="n">
        <v>11</v>
      </c>
      <c r="I1015" s="18" t="n">
        <v>14</v>
      </c>
      <c r="J1015" s="19" t="n">
        <v>29</v>
      </c>
      <c r="K1015" s="20" t="n">
        <v>32</v>
      </c>
      <c r="L1015" s="21" t="n">
        <v>33</v>
      </c>
      <c r="M1015" s="22" t="n">
        <v>12</v>
      </c>
      <c r="N1015" s="15" t="n">
        <f aca="false">SUMPRODUCT(COUNTIF(G1015:L1015,번호조회!$B$4:$B$9))</f>
        <v>0</v>
      </c>
    </row>
    <row r="1016" customFormat="false" ht="16.5" hidden="false" customHeight="true" outlineLevel="0" collapsed="false">
      <c r="E1016" s="1" t="n">
        <f aca="false">$E$13-($F$13-F1016)*7</f>
        <v>39193</v>
      </c>
      <c r="F1016" s="12" t="n">
        <v>229</v>
      </c>
      <c r="G1016" s="16" t="n">
        <v>4</v>
      </c>
      <c r="H1016" s="17" t="n">
        <v>5</v>
      </c>
      <c r="I1016" s="18" t="n">
        <v>9</v>
      </c>
      <c r="J1016" s="19" t="n">
        <v>11</v>
      </c>
      <c r="K1016" s="20" t="n">
        <v>23</v>
      </c>
      <c r="L1016" s="21" t="n">
        <v>38</v>
      </c>
      <c r="M1016" s="22" t="n">
        <v>35</v>
      </c>
      <c r="N1016" s="15" t="n">
        <f aca="false">SUMPRODUCT(COUNTIF(G1016:L1016,번호조회!$B$4:$B$9))</f>
        <v>0</v>
      </c>
    </row>
    <row r="1017" customFormat="false" ht="16.5" hidden="false" customHeight="true" outlineLevel="0" collapsed="false">
      <c r="E1017" s="1" t="n">
        <f aca="false">$E$13-($F$13-F1017)*7</f>
        <v>39186</v>
      </c>
      <c r="F1017" s="12" t="n">
        <v>228</v>
      </c>
      <c r="G1017" s="16" t="n">
        <v>17</v>
      </c>
      <c r="H1017" s="17" t="n">
        <v>25</v>
      </c>
      <c r="I1017" s="18" t="n">
        <v>35</v>
      </c>
      <c r="J1017" s="19" t="n">
        <v>36</v>
      </c>
      <c r="K1017" s="20" t="n">
        <v>39</v>
      </c>
      <c r="L1017" s="21" t="n">
        <v>44</v>
      </c>
      <c r="M1017" s="22" t="n">
        <v>23</v>
      </c>
      <c r="N1017" s="15" t="n">
        <f aca="false">SUMPRODUCT(COUNTIF(G1017:L1017,번호조회!$B$4:$B$9))</f>
        <v>0</v>
      </c>
    </row>
    <row r="1018" customFormat="false" ht="16.5" hidden="false" customHeight="true" outlineLevel="0" collapsed="false">
      <c r="E1018" s="1" t="n">
        <f aca="false">$E$13-($F$13-F1018)*7</f>
        <v>39179</v>
      </c>
      <c r="F1018" s="12" t="n">
        <v>227</v>
      </c>
      <c r="G1018" s="16" t="n">
        <v>4</v>
      </c>
      <c r="H1018" s="17" t="n">
        <v>5</v>
      </c>
      <c r="I1018" s="18" t="n">
        <v>15</v>
      </c>
      <c r="J1018" s="19" t="n">
        <v>16</v>
      </c>
      <c r="K1018" s="20" t="n">
        <v>22</v>
      </c>
      <c r="L1018" s="21" t="n">
        <v>42</v>
      </c>
      <c r="M1018" s="22" t="n">
        <v>2</v>
      </c>
      <c r="N1018" s="15" t="n">
        <f aca="false">SUMPRODUCT(COUNTIF(G1018:L1018,번호조회!$B$4:$B$9))</f>
        <v>0</v>
      </c>
    </row>
    <row r="1019" customFormat="false" ht="16.5" hidden="false" customHeight="true" outlineLevel="0" collapsed="false">
      <c r="E1019" s="1" t="n">
        <f aca="false">$E$13-($F$13-F1019)*7</f>
        <v>39172</v>
      </c>
      <c r="F1019" s="12" t="n">
        <v>226</v>
      </c>
      <c r="G1019" s="16" t="n">
        <v>2</v>
      </c>
      <c r="H1019" s="17" t="n">
        <v>6</v>
      </c>
      <c r="I1019" s="18" t="n">
        <v>8</v>
      </c>
      <c r="J1019" s="19" t="n">
        <v>14</v>
      </c>
      <c r="K1019" s="20" t="n">
        <v>21</v>
      </c>
      <c r="L1019" s="21" t="n">
        <v>22</v>
      </c>
      <c r="M1019" s="22" t="n">
        <v>34</v>
      </c>
      <c r="N1019" s="15" t="n">
        <f aca="false">SUMPRODUCT(COUNTIF(G1019:L1019,번호조회!$B$4:$B$9))</f>
        <v>0</v>
      </c>
    </row>
    <row r="1020" customFormat="false" ht="16.5" hidden="false" customHeight="true" outlineLevel="0" collapsed="false">
      <c r="E1020" s="1" t="n">
        <f aca="false">$E$13-($F$13-F1020)*7</f>
        <v>39165</v>
      </c>
      <c r="F1020" s="12" t="n">
        <v>225</v>
      </c>
      <c r="G1020" s="16" t="n">
        <v>5</v>
      </c>
      <c r="H1020" s="17" t="n">
        <v>11</v>
      </c>
      <c r="I1020" s="18" t="n">
        <v>13</v>
      </c>
      <c r="J1020" s="19" t="n">
        <v>19</v>
      </c>
      <c r="K1020" s="20" t="n">
        <v>31</v>
      </c>
      <c r="L1020" s="21" t="n">
        <v>36</v>
      </c>
      <c r="M1020" s="22" t="n">
        <v>7</v>
      </c>
      <c r="N1020" s="15" t="n">
        <f aca="false">SUMPRODUCT(COUNTIF(G1020:L1020,번호조회!$B$4:$B$9))</f>
        <v>0</v>
      </c>
    </row>
    <row r="1021" customFormat="false" ht="16.5" hidden="false" customHeight="true" outlineLevel="0" collapsed="false">
      <c r="E1021" s="1" t="n">
        <f aca="false">$E$13-($F$13-F1021)*7</f>
        <v>39158</v>
      </c>
      <c r="F1021" s="12" t="n">
        <v>224</v>
      </c>
      <c r="G1021" s="16" t="n">
        <v>4</v>
      </c>
      <c r="H1021" s="17" t="n">
        <v>19</v>
      </c>
      <c r="I1021" s="18" t="n">
        <v>26</v>
      </c>
      <c r="J1021" s="19" t="n">
        <v>27</v>
      </c>
      <c r="K1021" s="20" t="n">
        <v>30</v>
      </c>
      <c r="L1021" s="21" t="n">
        <v>42</v>
      </c>
      <c r="M1021" s="22" t="n">
        <v>7</v>
      </c>
      <c r="N1021" s="15" t="n">
        <f aca="false">SUMPRODUCT(COUNTIF(G1021:L1021,번호조회!$B$4:$B$9))</f>
        <v>0</v>
      </c>
    </row>
    <row r="1022" customFormat="false" ht="16.5" hidden="false" customHeight="true" outlineLevel="0" collapsed="false">
      <c r="E1022" s="1" t="n">
        <f aca="false">$E$13-($F$13-F1022)*7</f>
        <v>39151</v>
      </c>
      <c r="F1022" s="12" t="n">
        <v>223</v>
      </c>
      <c r="G1022" s="16" t="n">
        <v>1</v>
      </c>
      <c r="H1022" s="17" t="n">
        <v>3</v>
      </c>
      <c r="I1022" s="18" t="n">
        <v>18</v>
      </c>
      <c r="J1022" s="19" t="n">
        <v>20</v>
      </c>
      <c r="K1022" s="20" t="n">
        <v>26</v>
      </c>
      <c r="L1022" s="21" t="n">
        <v>27</v>
      </c>
      <c r="M1022" s="22" t="n">
        <v>38</v>
      </c>
      <c r="N1022" s="15" t="n">
        <f aca="false">SUMPRODUCT(COUNTIF(G1022:L1022,번호조회!$B$4:$B$9))</f>
        <v>0</v>
      </c>
    </row>
    <row r="1023" customFormat="false" ht="16.5" hidden="false" customHeight="true" outlineLevel="0" collapsed="false">
      <c r="E1023" s="1" t="n">
        <f aca="false">$E$13-($F$13-F1023)*7</f>
        <v>39144</v>
      </c>
      <c r="F1023" s="12" t="n">
        <v>222</v>
      </c>
      <c r="G1023" s="16" t="n">
        <v>5</v>
      </c>
      <c r="H1023" s="17" t="n">
        <v>7</v>
      </c>
      <c r="I1023" s="18" t="n">
        <v>28</v>
      </c>
      <c r="J1023" s="19" t="n">
        <v>29</v>
      </c>
      <c r="K1023" s="20" t="n">
        <v>39</v>
      </c>
      <c r="L1023" s="21" t="n">
        <v>43</v>
      </c>
      <c r="M1023" s="22" t="n">
        <v>44</v>
      </c>
      <c r="N1023" s="15" t="n">
        <f aca="false">SUMPRODUCT(COUNTIF(G1023:L1023,번호조회!$B$4:$B$9))</f>
        <v>0</v>
      </c>
    </row>
    <row r="1024" customFormat="false" ht="16.5" hidden="false" customHeight="true" outlineLevel="0" collapsed="false">
      <c r="E1024" s="1" t="n">
        <f aca="false">$E$13-($F$13-F1024)*7</f>
        <v>39137</v>
      </c>
      <c r="F1024" s="12" t="n">
        <v>221</v>
      </c>
      <c r="G1024" s="16" t="n">
        <v>2</v>
      </c>
      <c r="H1024" s="17" t="n">
        <v>20</v>
      </c>
      <c r="I1024" s="18" t="n">
        <v>33</v>
      </c>
      <c r="J1024" s="19" t="n">
        <v>35</v>
      </c>
      <c r="K1024" s="20" t="n">
        <v>37</v>
      </c>
      <c r="L1024" s="21" t="n">
        <v>40</v>
      </c>
      <c r="M1024" s="22" t="n">
        <v>10</v>
      </c>
      <c r="N1024" s="15" t="n">
        <f aca="false">SUMPRODUCT(COUNTIF(G1024:L1024,번호조회!$B$4:$B$9))</f>
        <v>0</v>
      </c>
    </row>
    <row r="1025" customFormat="false" ht="16.5" hidden="false" customHeight="true" outlineLevel="0" collapsed="false">
      <c r="E1025" s="1" t="n">
        <f aca="false">$E$13-($F$13-F1025)*7</f>
        <v>39130</v>
      </c>
      <c r="F1025" s="12" t="n">
        <v>220</v>
      </c>
      <c r="G1025" s="16" t="n">
        <v>5</v>
      </c>
      <c r="H1025" s="17" t="n">
        <v>11</v>
      </c>
      <c r="I1025" s="18" t="n">
        <v>19</v>
      </c>
      <c r="J1025" s="19" t="n">
        <v>21</v>
      </c>
      <c r="K1025" s="20" t="n">
        <v>34</v>
      </c>
      <c r="L1025" s="21" t="n">
        <v>43</v>
      </c>
      <c r="M1025" s="22" t="n">
        <v>31</v>
      </c>
      <c r="N1025" s="15" t="n">
        <f aca="false">SUMPRODUCT(COUNTIF(G1025:L1025,번호조회!$B$4:$B$9))</f>
        <v>0</v>
      </c>
    </row>
    <row r="1026" customFormat="false" ht="16.5" hidden="false" customHeight="true" outlineLevel="0" collapsed="false">
      <c r="E1026" s="1" t="n">
        <f aca="false">$E$13-($F$13-F1026)*7</f>
        <v>39123</v>
      </c>
      <c r="F1026" s="12" t="n">
        <v>219</v>
      </c>
      <c r="G1026" s="16" t="n">
        <v>4</v>
      </c>
      <c r="H1026" s="17" t="n">
        <v>11</v>
      </c>
      <c r="I1026" s="18" t="n">
        <v>20</v>
      </c>
      <c r="J1026" s="19" t="n">
        <v>26</v>
      </c>
      <c r="K1026" s="20" t="n">
        <v>35</v>
      </c>
      <c r="L1026" s="21" t="n">
        <v>37</v>
      </c>
      <c r="M1026" s="22" t="n">
        <v>16</v>
      </c>
      <c r="N1026" s="15" t="n">
        <f aca="false">SUMPRODUCT(COUNTIF(G1026:L1026,번호조회!$B$4:$B$9))</f>
        <v>0</v>
      </c>
    </row>
    <row r="1027" customFormat="false" ht="16.5" hidden="false" customHeight="true" outlineLevel="0" collapsed="false">
      <c r="E1027" s="1" t="n">
        <f aca="false">$E$13-($F$13-F1027)*7</f>
        <v>39116</v>
      </c>
      <c r="F1027" s="12" t="n">
        <v>218</v>
      </c>
      <c r="G1027" s="16" t="n">
        <v>1</v>
      </c>
      <c r="H1027" s="17" t="n">
        <v>8</v>
      </c>
      <c r="I1027" s="18" t="n">
        <v>14</v>
      </c>
      <c r="J1027" s="19" t="n">
        <v>18</v>
      </c>
      <c r="K1027" s="20" t="n">
        <v>29</v>
      </c>
      <c r="L1027" s="21" t="n">
        <v>44</v>
      </c>
      <c r="M1027" s="22" t="n">
        <v>20</v>
      </c>
      <c r="N1027" s="15" t="n">
        <f aca="false">SUMPRODUCT(COUNTIF(G1027:L1027,번호조회!$B$4:$B$9))</f>
        <v>0</v>
      </c>
    </row>
    <row r="1028" customFormat="false" ht="16.5" hidden="false" customHeight="true" outlineLevel="0" collapsed="false">
      <c r="E1028" s="1" t="n">
        <f aca="false">$E$13-($F$13-F1028)*7</f>
        <v>39109</v>
      </c>
      <c r="F1028" s="12" t="n">
        <v>217</v>
      </c>
      <c r="G1028" s="16" t="n">
        <v>16</v>
      </c>
      <c r="H1028" s="17" t="n">
        <v>20</v>
      </c>
      <c r="I1028" s="18" t="n">
        <v>27</v>
      </c>
      <c r="J1028" s="19" t="n">
        <v>33</v>
      </c>
      <c r="K1028" s="20" t="n">
        <v>35</v>
      </c>
      <c r="L1028" s="21" t="n">
        <v>39</v>
      </c>
      <c r="M1028" s="22" t="n">
        <v>38</v>
      </c>
      <c r="N1028" s="15" t="n">
        <f aca="false">SUMPRODUCT(COUNTIF(G1028:L1028,번호조회!$B$4:$B$9))</f>
        <v>0</v>
      </c>
    </row>
    <row r="1029" customFormat="false" ht="16.5" hidden="false" customHeight="true" outlineLevel="0" collapsed="false">
      <c r="E1029" s="1" t="n">
        <f aca="false">$E$13-($F$13-F1029)*7</f>
        <v>39102</v>
      </c>
      <c r="F1029" s="12" t="n">
        <v>216</v>
      </c>
      <c r="G1029" s="16" t="n">
        <v>7</v>
      </c>
      <c r="H1029" s="17" t="n">
        <v>16</v>
      </c>
      <c r="I1029" s="18" t="n">
        <v>17</v>
      </c>
      <c r="J1029" s="19" t="n">
        <v>33</v>
      </c>
      <c r="K1029" s="20" t="n">
        <v>36</v>
      </c>
      <c r="L1029" s="21" t="n">
        <v>40</v>
      </c>
      <c r="M1029" s="22" t="n">
        <v>1</v>
      </c>
      <c r="N1029" s="15" t="n">
        <f aca="false">SUMPRODUCT(COUNTIF(G1029:L1029,번호조회!$B$4:$B$9))</f>
        <v>0</v>
      </c>
    </row>
    <row r="1030" customFormat="false" ht="16.5" hidden="false" customHeight="true" outlineLevel="0" collapsed="false">
      <c r="E1030" s="1" t="n">
        <f aca="false">$E$13-($F$13-F1030)*7</f>
        <v>39095</v>
      </c>
      <c r="F1030" s="12" t="n">
        <v>215</v>
      </c>
      <c r="G1030" s="16" t="n">
        <v>2</v>
      </c>
      <c r="H1030" s="17" t="n">
        <v>3</v>
      </c>
      <c r="I1030" s="18" t="n">
        <v>7</v>
      </c>
      <c r="J1030" s="19" t="n">
        <v>15</v>
      </c>
      <c r="K1030" s="20" t="n">
        <v>43</v>
      </c>
      <c r="L1030" s="21" t="n">
        <v>44</v>
      </c>
      <c r="M1030" s="22" t="n">
        <v>4</v>
      </c>
      <c r="N1030" s="15" t="n">
        <f aca="false">SUMPRODUCT(COUNTIF(G1030:L1030,번호조회!$B$4:$B$9))</f>
        <v>0</v>
      </c>
    </row>
    <row r="1031" customFormat="false" ht="16.5" hidden="false" customHeight="true" outlineLevel="0" collapsed="false">
      <c r="E1031" s="1" t="n">
        <f aca="false">$E$13-($F$13-F1031)*7</f>
        <v>39088</v>
      </c>
      <c r="F1031" s="12" t="n">
        <v>214</v>
      </c>
      <c r="G1031" s="16" t="n">
        <v>5</v>
      </c>
      <c r="H1031" s="17" t="n">
        <v>7</v>
      </c>
      <c r="I1031" s="18" t="n">
        <v>20</v>
      </c>
      <c r="J1031" s="19" t="n">
        <v>25</v>
      </c>
      <c r="K1031" s="20" t="n">
        <v>28</v>
      </c>
      <c r="L1031" s="21" t="n">
        <v>37</v>
      </c>
      <c r="M1031" s="22" t="n">
        <v>32</v>
      </c>
      <c r="N1031" s="15" t="n">
        <f aca="false">SUMPRODUCT(COUNTIF(G1031:L1031,번호조회!$B$4:$B$9))</f>
        <v>0</v>
      </c>
    </row>
    <row r="1032" customFormat="false" ht="16.5" hidden="false" customHeight="true" outlineLevel="0" collapsed="false">
      <c r="E1032" s="1" t="n">
        <f aca="false">$E$13-($F$13-F1032)*7</f>
        <v>39081</v>
      </c>
      <c r="F1032" s="12" t="n">
        <v>213</v>
      </c>
      <c r="G1032" s="16" t="n">
        <v>2</v>
      </c>
      <c r="H1032" s="17" t="n">
        <v>3</v>
      </c>
      <c r="I1032" s="18" t="n">
        <v>4</v>
      </c>
      <c r="J1032" s="19" t="n">
        <v>5</v>
      </c>
      <c r="K1032" s="20" t="n">
        <v>20</v>
      </c>
      <c r="L1032" s="21" t="n">
        <v>24</v>
      </c>
      <c r="M1032" s="22" t="n">
        <v>42</v>
      </c>
      <c r="N1032" s="15" t="n">
        <f aca="false">SUMPRODUCT(COUNTIF(G1032:L1032,번호조회!$B$4:$B$9))</f>
        <v>0</v>
      </c>
    </row>
    <row r="1033" customFormat="false" ht="16.5" hidden="false" customHeight="true" outlineLevel="0" collapsed="false">
      <c r="E1033" s="1" t="n">
        <f aca="false">$E$13-($F$13-F1033)*7</f>
        <v>39074</v>
      </c>
      <c r="F1033" s="12" t="n">
        <v>212</v>
      </c>
      <c r="G1033" s="16" t="n">
        <v>11</v>
      </c>
      <c r="H1033" s="17" t="n">
        <v>12</v>
      </c>
      <c r="I1033" s="18" t="n">
        <v>18</v>
      </c>
      <c r="J1033" s="19" t="n">
        <v>21</v>
      </c>
      <c r="K1033" s="20" t="n">
        <v>31</v>
      </c>
      <c r="L1033" s="21" t="n">
        <v>38</v>
      </c>
      <c r="M1033" s="22" t="n">
        <v>8</v>
      </c>
      <c r="N1033" s="15" t="n">
        <f aca="false">SUMPRODUCT(COUNTIF(G1033:L1033,번호조회!$B$4:$B$9))</f>
        <v>0</v>
      </c>
    </row>
    <row r="1034" customFormat="false" ht="16.5" hidden="false" customHeight="true" outlineLevel="0" collapsed="false">
      <c r="E1034" s="1" t="n">
        <f aca="false">$E$13-($F$13-F1034)*7</f>
        <v>39067</v>
      </c>
      <c r="F1034" s="12" t="n">
        <v>211</v>
      </c>
      <c r="G1034" s="16" t="n">
        <v>12</v>
      </c>
      <c r="H1034" s="17" t="n">
        <v>13</v>
      </c>
      <c r="I1034" s="18" t="n">
        <v>17</v>
      </c>
      <c r="J1034" s="19" t="n">
        <v>20</v>
      </c>
      <c r="K1034" s="20" t="n">
        <v>33</v>
      </c>
      <c r="L1034" s="21" t="n">
        <v>41</v>
      </c>
      <c r="M1034" s="22" t="n">
        <v>8</v>
      </c>
      <c r="N1034" s="15" t="n">
        <f aca="false">SUMPRODUCT(COUNTIF(G1034:L1034,번호조회!$B$4:$B$9))</f>
        <v>0</v>
      </c>
    </row>
    <row r="1035" customFormat="false" ht="16.5" hidden="false" customHeight="true" outlineLevel="0" collapsed="false">
      <c r="E1035" s="1" t="n">
        <f aca="false">$E$13-($F$13-F1035)*7</f>
        <v>39060</v>
      </c>
      <c r="F1035" s="12" t="n">
        <v>210</v>
      </c>
      <c r="G1035" s="16" t="n">
        <v>10</v>
      </c>
      <c r="H1035" s="17" t="n">
        <v>19</v>
      </c>
      <c r="I1035" s="18" t="n">
        <v>22</v>
      </c>
      <c r="J1035" s="19" t="n">
        <v>23</v>
      </c>
      <c r="K1035" s="20" t="n">
        <v>25</v>
      </c>
      <c r="L1035" s="21" t="n">
        <v>37</v>
      </c>
      <c r="M1035" s="22" t="n">
        <v>39</v>
      </c>
      <c r="N1035" s="15" t="n">
        <f aca="false">SUMPRODUCT(COUNTIF(G1035:L1035,번호조회!$B$4:$B$9))</f>
        <v>0</v>
      </c>
    </row>
    <row r="1036" customFormat="false" ht="16.5" hidden="false" customHeight="true" outlineLevel="0" collapsed="false">
      <c r="E1036" s="1" t="n">
        <f aca="false">$E$13-($F$13-F1036)*7</f>
        <v>39053</v>
      </c>
      <c r="F1036" s="12" t="n">
        <v>209</v>
      </c>
      <c r="G1036" s="16" t="n">
        <v>2</v>
      </c>
      <c r="H1036" s="17" t="n">
        <v>7</v>
      </c>
      <c r="I1036" s="18" t="n">
        <v>18</v>
      </c>
      <c r="J1036" s="19" t="n">
        <v>20</v>
      </c>
      <c r="K1036" s="20" t="n">
        <v>24</v>
      </c>
      <c r="L1036" s="21" t="n">
        <v>33</v>
      </c>
      <c r="M1036" s="22" t="n">
        <v>37</v>
      </c>
      <c r="N1036" s="15" t="n">
        <f aca="false">SUMPRODUCT(COUNTIF(G1036:L1036,번호조회!$B$4:$B$9))</f>
        <v>0</v>
      </c>
    </row>
    <row r="1037" customFormat="false" ht="16.5" hidden="false" customHeight="true" outlineLevel="0" collapsed="false">
      <c r="E1037" s="1" t="n">
        <f aca="false">$E$13-($F$13-F1037)*7</f>
        <v>39046</v>
      </c>
      <c r="F1037" s="12" t="n">
        <v>208</v>
      </c>
      <c r="G1037" s="16" t="n">
        <v>14</v>
      </c>
      <c r="H1037" s="17" t="n">
        <v>25</v>
      </c>
      <c r="I1037" s="18" t="n">
        <v>31</v>
      </c>
      <c r="J1037" s="19" t="n">
        <v>34</v>
      </c>
      <c r="K1037" s="20" t="n">
        <v>40</v>
      </c>
      <c r="L1037" s="21" t="n">
        <v>44</v>
      </c>
      <c r="M1037" s="22" t="n">
        <v>24</v>
      </c>
      <c r="N1037" s="15" t="n">
        <f aca="false">SUMPRODUCT(COUNTIF(G1037:L1037,번호조회!$B$4:$B$9))</f>
        <v>0</v>
      </c>
    </row>
    <row r="1038" customFormat="false" ht="16.5" hidden="false" customHeight="true" outlineLevel="0" collapsed="false">
      <c r="E1038" s="1" t="n">
        <f aca="false">$E$13-($F$13-F1038)*7</f>
        <v>39039</v>
      </c>
      <c r="F1038" s="12" t="n">
        <v>207</v>
      </c>
      <c r="G1038" s="16" t="n">
        <v>3</v>
      </c>
      <c r="H1038" s="17" t="n">
        <v>11</v>
      </c>
      <c r="I1038" s="18" t="n">
        <v>14</v>
      </c>
      <c r="J1038" s="19" t="n">
        <v>31</v>
      </c>
      <c r="K1038" s="20" t="n">
        <v>32</v>
      </c>
      <c r="L1038" s="21" t="n">
        <v>37</v>
      </c>
      <c r="M1038" s="22" t="n">
        <v>38</v>
      </c>
      <c r="N1038" s="15" t="n">
        <f aca="false">SUMPRODUCT(COUNTIF(G1038:L1038,번호조회!$B$4:$B$9))</f>
        <v>0</v>
      </c>
    </row>
    <row r="1039" customFormat="false" ht="16.5" hidden="false" customHeight="true" outlineLevel="0" collapsed="false">
      <c r="E1039" s="1" t="n">
        <f aca="false">$E$13-($F$13-F1039)*7</f>
        <v>39032</v>
      </c>
      <c r="F1039" s="12" t="n">
        <v>206</v>
      </c>
      <c r="G1039" s="16" t="n">
        <v>1</v>
      </c>
      <c r="H1039" s="17" t="n">
        <v>2</v>
      </c>
      <c r="I1039" s="18" t="n">
        <v>3</v>
      </c>
      <c r="J1039" s="19" t="n">
        <v>15</v>
      </c>
      <c r="K1039" s="20" t="n">
        <v>20</v>
      </c>
      <c r="L1039" s="21" t="n">
        <v>25</v>
      </c>
      <c r="M1039" s="22" t="n">
        <v>43</v>
      </c>
      <c r="N1039" s="15" t="n">
        <f aca="false">SUMPRODUCT(COUNTIF(G1039:L1039,번호조회!$B$4:$B$9))</f>
        <v>0</v>
      </c>
    </row>
    <row r="1040" customFormat="false" ht="16.5" hidden="false" customHeight="true" outlineLevel="0" collapsed="false">
      <c r="E1040" s="1" t="n">
        <f aca="false">$E$13-($F$13-F1040)*7</f>
        <v>39025</v>
      </c>
      <c r="F1040" s="12" t="n">
        <v>205</v>
      </c>
      <c r="G1040" s="16" t="n">
        <v>1</v>
      </c>
      <c r="H1040" s="17" t="n">
        <v>3</v>
      </c>
      <c r="I1040" s="18" t="n">
        <v>21</v>
      </c>
      <c r="J1040" s="19" t="n">
        <v>29</v>
      </c>
      <c r="K1040" s="20" t="n">
        <v>35</v>
      </c>
      <c r="L1040" s="21" t="n">
        <v>37</v>
      </c>
      <c r="M1040" s="22" t="n">
        <v>30</v>
      </c>
      <c r="N1040" s="15" t="n">
        <f aca="false">SUMPRODUCT(COUNTIF(G1040:L1040,번호조회!$B$4:$B$9))</f>
        <v>0</v>
      </c>
    </row>
    <row r="1041" customFormat="false" ht="16.5" hidden="false" customHeight="true" outlineLevel="0" collapsed="false">
      <c r="E1041" s="1" t="n">
        <f aca="false">$E$13-($F$13-F1041)*7</f>
        <v>39018</v>
      </c>
      <c r="F1041" s="12" t="n">
        <v>204</v>
      </c>
      <c r="G1041" s="16" t="n">
        <v>3</v>
      </c>
      <c r="H1041" s="17" t="n">
        <v>12</v>
      </c>
      <c r="I1041" s="18" t="n">
        <v>14</v>
      </c>
      <c r="J1041" s="19" t="n">
        <v>35</v>
      </c>
      <c r="K1041" s="20" t="n">
        <v>40</v>
      </c>
      <c r="L1041" s="21" t="n">
        <v>45</v>
      </c>
      <c r="M1041" s="22" t="n">
        <v>5</v>
      </c>
      <c r="N1041" s="15" t="n">
        <f aca="false">SUMPRODUCT(COUNTIF(G1041:L1041,번호조회!$B$4:$B$9))</f>
        <v>0</v>
      </c>
    </row>
    <row r="1042" customFormat="false" ht="16.5" hidden="false" customHeight="true" outlineLevel="0" collapsed="false">
      <c r="E1042" s="1" t="n">
        <f aca="false">$E$13-($F$13-F1042)*7</f>
        <v>39011</v>
      </c>
      <c r="F1042" s="12" t="n">
        <v>203</v>
      </c>
      <c r="G1042" s="16" t="n">
        <v>1</v>
      </c>
      <c r="H1042" s="17" t="n">
        <v>3</v>
      </c>
      <c r="I1042" s="18" t="n">
        <v>11</v>
      </c>
      <c r="J1042" s="19" t="n">
        <v>24</v>
      </c>
      <c r="K1042" s="20" t="n">
        <v>30</v>
      </c>
      <c r="L1042" s="21" t="n">
        <v>32</v>
      </c>
      <c r="M1042" s="22" t="n">
        <v>7</v>
      </c>
      <c r="N1042" s="15" t="n">
        <f aca="false">SUMPRODUCT(COUNTIF(G1042:L1042,번호조회!$B$4:$B$9))</f>
        <v>0</v>
      </c>
    </row>
    <row r="1043" customFormat="false" ht="16.5" hidden="false" customHeight="true" outlineLevel="0" collapsed="false">
      <c r="E1043" s="1" t="n">
        <f aca="false">$E$13-($F$13-F1043)*7</f>
        <v>39004</v>
      </c>
      <c r="F1043" s="12" t="n">
        <v>202</v>
      </c>
      <c r="G1043" s="16" t="n">
        <v>12</v>
      </c>
      <c r="H1043" s="17" t="n">
        <v>14</v>
      </c>
      <c r="I1043" s="18" t="n">
        <v>27</v>
      </c>
      <c r="J1043" s="19" t="n">
        <v>33</v>
      </c>
      <c r="K1043" s="20" t="n">
        <v>39</v>
      </c>
      <c r="L1043" s="21" t="n">
        <v>44</v>
      </c>
      <c r="M1043" s="22" t="n">
        <v>17</v>
      </c>
      <c r="N1043" s="15" t="n">
        <f aca="false">SUMPRODUCT(COUNTIF(G1043:L1043,번호조회!$B$4:$B$9))</f>
        <v>0</v>
      </c>
    </row>
    <row r="1044" customFormat="false" ht="16.5" hidden="false" customHeight="true" outlineLevel="0" collapsed="false">
      <c r="E1044" s="1" t="n">
        <f aca="false">$E$13-($F$13-F1044)*7</f>
        <v>38997</v>
      </c>
      <c r="F1044" s="12" t="n">
        <v>201</v>
      </c>
      <c r="G1044" s="16" t="n">
        <v>3</v>
      </c>
      <c r="H1044" s="17" t="n">
        <v>11</v>
      </c>
      <c r="I1044" s="18" t="n">
        <v>24</v>
      </c>
      <c r="J1044" s="19" t="n">
        <v>38</v>
      </c>
      <c r="K1044" s="20" t="n">
        <v>39</v>
      </c>
      <c r="L1044" s="21" t="n">
        <v>44</v>
      </c>
      <c r="M1044" s="22" t="n">
        <v>26</v>
      </c>
      <c r="N1044" s="15" t="n">
        <f aca="false">SUMPRODUCT(COUNTIF(G1044:L1044,번호조회!$B$4:$B$9))</f>
        <v>0</v>
      </c>
    </row>
    <row r="1045" customFormat="false" ht="16.5" hidden="false" customHeight="true" outlineLevel="0" collapsed="false">
      <c r="E1045" s="1" t="n">
        <f aca="false">$E$13-($F$13-F1045)*7</f>
        <v>38990</v>
      </c>
      <c r="F1045" s="12" t="n">
        <v>200</v>
      </c>
      <c r="G1045" s="16" t="n">
        <v>5</v>
      </c>
      <c r="H1045" s="17" t="n">
        <v>6</v>
      </c>
      <c r="I1045" s="18" t="n">
        <v>13</v>
      </c>
      <c r="J1045" s="19" t="n">
        <v>14</v>
      </c>
      <c r="K1045" s="20" t="n">
        <v>17</v>
      </c>
      <c r="L1045" s="21" t="n">
        <v>20</v>
      </c>
      <c r="M1045" s="22" t="n">
        <v>7</v>
      </c>
      <c r="N1045" s="15" t="n">
        <f aca="false">SUMPRODUCT(COUNTIF(G1045:L1045,번호조회!$B$4:$B$9))</f>
        <v>0</v>
      </c>
    </row>
    <row r="1046" customFormat="false" ht="16.5" hidden="false" customHeight="true" outlineLevel="0" collapsed="false">
      <c r="E1046" s="1" t="n">
        <f aca="false">$E$13-($F$13-F1046)*7</f>
        <v>38983</v>
      </c>
      <c r="F1046" s="12" t="n">
        <v>199</v>
      </c>
      <c r="G1046" s="16" t="n">
        <v>14</v>
      </c>
      <c r="H1046" s="17" t="n">
        <v>21</v>
      </c>
      <c r="I1046" s="18" t="n">
        <v>22</v>
      </c>
      <c r="J1046" s="19" t="n">
        <v>25</v>
      </c>
      <c r="K1046" s="20" t="n">
        <v>30</v>
      </c>
      <c r="L1046" s="21" t="n">
        <v>36</v>
      </c>
      <c r="M1046" s="22" t="n">
        <v>43</v>
      </c>
      <c r="N1046" s="15" t="n">
        <f aca="false">SUMPRODUCT(COUNTIF(G1046:L1046,번호조회!$B$4:$B$9))</f>
        <v>0</v>
      </c>
    </row>
    <row r="1047" customFormat="false" ht="16.5" hidden="false" customHeight="true" outlineLevel="0" collapsed="false">
      <c r="E1047" s="1" t="n">
        <f aca="false">$E$13-($F$13-F1047)*7</f>
        <v>38976</v>
      </c>
      <c r="F1047" s="12" t="n">
        <v>198</v>
      </c>
      <c r="G1047" s="16" t="n">
        <v>12</v>
      </c>
      <c r="H1047" s="17" t="n">
        <v>19</v>
      </c>
      <c r="I1047" s="18" t="n">
        <v>20</v>
      </c>
      <c r="J1047" s="19" t="n">
        <v>25</v>
      </c>
      <c r="K1047" s="20" t="n">
        <v>41</v>
      </c>
      <c r="L1047" s="21" t="n">
        <v>45</v>
      </c>
      <c r="M1047" s="22" t="n">
        <v>2</v>
      </c>
      <c r="N1047" s="15" t="n">
        <f aca="false">SUMPRODUCT(COUNTIF(G1047:L1047,번호조회!$B$4:$B$9))</f>
        <v>0</v>
      </c>
    </row>
    <row r="1048" customFormat="false" ht="16.5" hidden="false" customHeight="true" outlineLevel="0" collapsed="false">
      <c r="E1048" s="1" t="n">
        <f aca="false">$E$13-($F$13-F1048)*7</f>
        <v>38969</v>
      </c>
      <c r="F1048" s="12" t="n">
        <v>197</v>
      </c>
      <c r="G1048" s="16" t="n">
        <v>7</v>
      </c>
      <c r="H1048" s="17" t="n">
        <v>12</v>
      </c>
      <c r="I1048" s="18" t="n">
        <v>16</v>
      </c>
      <c r="J1048" s="19" t="n">
        <v>34</v>
      </c>
      <c r="K1048" s="20" t="n">
        <v>42</v>
      </c>
      <c r="L1048" s="21" t="n">
        <v>45</v>
      </c>
      <c r="M1048" s="22" t="n">
        <v>4</v>
      </c>
      <c r="N1048" s="15" t="n">
        <f aca="false">SUMPRODUCT(COUNTIF(G1048:L1048,번호조회!$B$4:$B$9))</f>
        <v>0</v>
      </c>
    </row>
    <row r="1049" customFormat="false" ht="16.5" hidden="false" customHeight="true" outlineLevel="0" collapsed="false">
      <c r="E1049" s="1" t="n">
        <f aca="false">$E$13-($F$13-F1049)*7</f>
        <v>38962</v>
      </c>
      <c r="F1049" s="12" t="n">
        <v>196</v>
      </c>
      <c r="G1049" s="16" t="n">
        <v>35</v>
      </c>
      <c r="H1049" s="17" t="n">
        <v>36</v>
      </c>
      <c r="I1049" s="18" t="n">
        <v>37</v>
      </c>
      <c r="J1049" s="19" t="n">
        <v>41</v>
      </c>
      <c r="K1049" s="20" t="n">
        <v>44</v>
      </c>
      <c r="L1049" s="21" t="n">
        <v>45</v>
      </c>
      <c r="M1049" s="22" t="n">
        <v>30</v>
      </c>
      <c r="N1049" s="15" t="n">
        <f aca="false">SUMPRODUCT(COUNTIF(G1049:L1049,번호조회!$B$4:$B$9))</f>
        <v>0</v>
      </c>
    </row>
    <row r="1050" customFormat="false" ht="16.5" hidden="false" customHeight="true" outlineLevel="0" collapsed="false">
      <c r="E1050" s="1" t="n">
        <f aca="false">$E$13-($F$13-F1050)*7</f>
        <v>38955</v>
      </c>
      <c r="F1050" s="12" t="n">
        <v>195</v>
      </c>
      <c r="G1050" s="16" t="n">
        <v>7</v>
      </c>
      <c r="H1050" s="17" t="n">
        <v>10</v>
      </c>
      <c r="I1050" s="18" t="n">
        <v>19</v>
      </c>
      <c r="J1050" s="19" t="n">
        <v>22</v>
      </c>
      <c r="K1050" s="20" t="n">
        <v>35</v>
      </c>
      <c r="L1050" s="21" t="n">
        <v>40</v>
      </c>
      <c r="M1050" s="22" t="n">
        <v>31</v>
      </c>
      <c r="N1050" s="15" t="n">
        <f aca="false">SUMPRODUCT(COUNTIF(G1050:L1050,번호조회!$B$4:$B$9))</f>
        <v>0</v>
      </c>
    </row>
    <row r="1051" customFormat="false" ht="16.5" hidden="false" customHeight="true" outlineLevel="0" collapsed="false">
      <c r="E1051" s="1" t="n">
        <f aca="false">$E$13-($F$13-F1051)*7</f>
        <v>38948</v>
      </c>
      <c r="F1051" s="12" t="n">
        <v>194</v>
      </c>
      <c r="G1051" s="16" t="n">
        <v>15</v>
      </c>
      <c r="H1051" s="17" t="n">
        <v>20</v>
      </c>
      <c r="I1051" s="18" t="n">
        <v>23</v>
      </c>
      <c r="J1051" s="19" t="n">
        <v>26</v>
      </c>
      <c r="K1051" s="20" t="n">
        <v>39</v>
      </c>
      <c r="L1051" s="21" t="n">
        <v>44</v>
      </c>
      <c r="M1051" s="22" t="n">
        <v>28</v>
      </c>
      <c r="N1051" s="15" t="n">
        <f aca="false">SUMPRODUCT(COUNTIF(G1051:L1051,번호조회!$B$4:$B$9))</f>
        <v>0</v>
      </c>
    </row>
    <row r="1052" customFormat="false" ht="16.5" hidden="false" customHeight="true" outlineLevel="0" collapsed="false">
      <c r="E1052" s="1" t="n">
        <f aca="false">$E$13-($F$13-F1052)*7</f>
        <v>38941</v>
      </c>
      <c r="F1052" s="12" t="n">
        <v>193</v>
      </c>
      <c r="G1052" s="16" t="n">
        <v>6</v>
      </c>
      <c r="H1052" s="17" t="n">
        <v>14</v>
      </c>
      <c r="I1052" s="18" t="n">
        <v>18</v>
      </c>
      <c r="J1052" s="19" t="n">
        <v>26</v>
      </c>
      <c r="K1052" s="20" t="n">
        <v>36</v>
      </c>
      <c r="L1052" s="21" t="n">
        <v>39</v>
      </c>
      <c r="M1052" s="22" t="n">
        <v>13</v>
      </c>
      <c r="N1052" s="15" t="n">
        <f aca="false">SUMPRODUCT(COUNTIF(G1052:L1052,번호조회!$B$4:$B$9))</f>
        <v>0</v>
      </c>
    </row>
    <row r="1053" customFormat="false" ht="16.5" hidden="false" customHeight="true" outlineLevel="0" collapsed="false">
      <c r="E1053" s="1" t="n">
        <f aca="false">$E$13-($F$13-F1053)*7</f>
        <v>38934</v>
      </c>
      <c r="F1053" s="12" t="n">
        <v>192</v>
      </c>
      <c r="G1053" s="16" t="n">
        <v>4</v>
      </c>
      <c r="H1053" s="17" t="n">
        <v>8</v>
      </c>
      <c r="I1053" s="18" t="n">
        <v>11</v>
      </c>
      <c r="J1053" s="19" t="n">
        <v>18</v>
      </c>
      <c r="K1053" s="20" t="n">
        <v>37</v>
      </c>
      <c r="L1053" s="21" t="n">
        <v>45</v>
      </c>
      <c r="M1053" s="22" t="n">
        <v>33</v>
      </c>
      <c r="N1053" s="15" t="n">
        <f aca="false">SUMPRODUCT(COUNTIF(G1053:L1053,번호조회!$B$4:$B$9))</f>
        <v>0</v>
      </c>
    </row>
    <row r="1054" customFormat="false" ht="16.5" hidden="false" customHeight="true" outlineLevel="0" collapsed="false">
      <c r="E1054" s="1" t="n">
        <f aca="false">$E$13-($F$13-F1054)*7</f>
        <v>38927</v>
      </c>
      <c r="F1054" s="12" t="n">
        <v>191</v>
      </c>
      <c r="G1054" s="16" t="n">
        <v>5</v>
      </c>
      <c r="H1054" s="17" t="n">
        <v>6</v>
      </c>
      <c r="I1054" s="18" t="n">
        <v>24</v>
      </c>
      <c r="J1054" s="19" t="n">
        <v>25</v>
      </c>
      <c r="K1054" s="20" t="n">
        <v>32</v>
      </c>
      <c r="L1054" s="21" t="n">
        <v>37</v>
      </c>
      <c r="M1054" s="22" t="n">
        <v>8</v>
      </c>
      <c r="N1054" s="15" t="n">
        <f aca="false">SUMPRODUCT(COUNTIF(G1054:L1054,번호조회!$B$4:$B$9))</f>
        <v>0</v>
      </c>
    </row>
    <row r="1055" customFormat="false" ht="16.5" hidden="false" customHeight="true" outlineLevel="0" collapsed="false">
      <c r="E1055" s="1" t="n">
        <f aca="false">$E$13-($F$13-F1055)*7</f>
        <v>38920</v>
      </c>
      <c r="F1055" s="12" t="n">
        <v>190</v>
      </c>
      <c r="G1055" s="16" t="n">
        <v>8</v>
      </c>
      <c r="H1055" s="17" t="n">
        <v>14</v>
      </c>
      <c r="I1055" s="18" t="n">
        <v>18</v>
      </c>
      <c r="J1055" s="19" t="n">
        <v>30</v>
      </c>
      <c r="K1055" s="20" t="n">
        <v>31</v>
      </c>
      <c r="L1055" s="21" t="n">
        <v>44</v>
      </c>
      <c r="M1055" s="22" t="n">
        <v>15</v>
      </c>
      <c r="N1055" s="15" t="n">
        <f aca="false">SUMPRODUCT(COUNTIF(G1055:L1055,번호조회!$B$4:$B$9))</f>
        <v>0</v>
      </c>
    </row>
    <row r="1056" customFormat="false" ht="16.5" hidden="false" customHeight="true" outlineLevel="0" collapsed="false">
      <c r="E1056" s="1" t="n">
        <f aca="false">$E$13-($F$13-F1056)*7</f>
        <v>38913</v>
      </c>
      <c r="F1056" s="12" t="n">
        <v>189</v>
      </c>
      <c r="G1056" s="16" t="n">
        <v>8</v>
      </c>
      <c r="H1056" s="17" t="n">
        <v>14</v>
      </c>
      <c r="I1056" s="18" t="n">
        <v>32</v>
      </c>
      <c r="J1056" s="19" t="n">
        <v>35</v>
      </c>
      <c r="K1056" s="20" t="n">
        <v>37</v>
      </c>
      <c r="L1056" s="21" t="n">
        <v>45</v>
      </c>
      <c r="M1056" s="22" t="n">
        <v>28</v>
      </c>
      <c r="N1056" s="15" t="n">
        <f aca="false">SUMPRODUCT(COUNTIF(G1056:L1056,번호조회!$B$4:$B$9))</f>
        <v>0</v>
      </c>
    </row>
    <row r="1057" customFormat="false" ht="16.5" hidden="false" customHeight="true" outlineLevel="0" collapsed="false">
      <c r="E1057" s="1" t="n">
        <f aca="false">$E$13-($F$13-F1057)*7</f>
        <v>38906</v>
      </c>
      <c r="F1057" s="12" t="n">
        <v>188</v>
      </c>
      <c r="G1057" s="16" t="n">
        <v>19</v>
      </c>
      <c r="H1057" s="17" t="n">
        <v>24</v>
      </c>
      <c r="I1057" s="18" t="n">
        <v>27</v>
      </c>
      <c r="J1057" s="19" t="n">
        <v>30</v>
      </c>
      <c r="K1057" s="20" t="n">
        <v>31</v>
      </c>
      <c r="L1057" s="21" t="n">
        <v>34</v>
      </c>
      <c r="M1057" s="22" t="n">
        <v>36</v>
      </c>
      <c r="N1057" s="15" t="n">
        <f aca="false">SUMPRODUCT(COUNTIF(G1057:L1057,번호조회!$B$4:$B$9))</f>
        <v>0</v>
      </c>
    </row>
    <row r="1058" customFormat="false" ht="16.5" hidden="false" customHeight="true" outlineLevel="0" collapsed="false">
      <c r="E1058" s="1" t="n">
        <f aca="false">$E$13-($F$13-F1058)*7</f>
        <v>38899</v>
      </c>
      <c r="F1058" s="12" t="n">
        <v>187</v>
      </c>
      <c r="G1058" s="16" t="n">
        <v>1</v>
      </c>
      <c r="H1058" s="17" t="n">
        <v>2</v>
      </c>
      <c r="I1058" s="18" t="n">
        <v>8</v>
      </c>
      <c r="J1058" s="19" t="n">
        <v>18</v>
      </c>
      <c r="K1058" s="20" t="n">
        <v>29</v>
      </c>
      <c r="L1058" s="21" t="n">
        <v>38</v>
      </c>
      <c r="M1058" s="22" t="n">
        <v>42</v>
      </c>
      <c r="N1058" s="15" t="n">
        <f aca="false">SUMPRODUCT(COUNTIF(G1058:L1058,번호조회!$B$4:$B$9))</f>
        <v>0</v>
      </c>
    </row>
    <row r="1059" customFormat="false" ht="16.5" hidden="false" customHeight="true" outlineLevel="0" collapsed="false">
      <c r="E1059" s="1" t="n">
        <f aca="false">$E$13-($F$13-F1059)*7</f>
        <v>38892</v>
      </c>
      <c r="F1059" s="12" t="n">
        <v>186</v>
      </c>
      <c r="G1059" s="16" t="n">
        <v>4</v>
      </c>
      <c r="H1059" s="17" t="n">
        <v>10</v>
      </c>
      <c r="I1059" s="18" t="n">
        <v>14</v>
      </c>
      <c r="J1059" s="19" t="n">
        <v>19</v>
      </c>
      <c r="K1059" s="20" t="n">
        <v>21</v>
      </c>
      <c r="L1059" s="21" t="n">
        <v>45</v>
      </c>
      <c r="M1059" s="22" t="n">
        <v>9</v>
      </c>
      <c r="N1059" s="15" t="n">
        <f aca="false">SUMPRODUCT(COUNTIF(G1059:L1059,번호조회!$B$4:$B$9))</f>
        <v>0</v>
      </c>
    </row>
    <row r="1060" customFormat="false" ht="16.5" hidden="false" customHeight="true" outlineLevel="0" collapsed="false">
      <c r="E1060" s="1" t="n">
        <f aca="false">$E$13-($F$13-F1060)*7</f>
        <v>38885</v>
      </c>
      <c r="F1060" s="12" t="n">
        <v>185</v>
      </c>
      <c r="G1060" s="16" t="n">
        <v>1</v>
      </c>
      <c r="H1060" s="17" t="n">
        <v>2</v>
      </c>
      <c r="I1060" s="18" t="n">
        <v>4</v>
      </c>
      <c r="J1060" s="19" t="n">
        <v>8</v>
      </c>
      <c r="K1060" s="20" t="n">
        <v>19</v>
      </c>
      <c r="L1060" s="21" t="n">
        <v>38</v>
      </c>
      <c r="M1060" s="22" t="n">
        <v>14</v>
      </c>
      <c r="N1060" s="15" t="n">
        <f aca="false">SUMPRODUCT(COUNTIF(G1060:L1060,번호조회!$B$4:$B$9))</f>
        <v>0</v>
      </c>
    </row>
    <row r="1061" customFormat="false" ht="16.5" hidden="false" customHeight="true" outlineLevel="0" collapsed="false">
      <c r="E1061" s="1" t="n">
        <f aca="false">$E$13-($F$13-F1061)*7</f>
        <v>38878</v>
      </c>
      <c r="F1061" s="12" t="n">
        <v>184</v>
      </c>
      <c r="G1061" s="16" t="n">
        <v>1</v>
      </c>
      <c r="H1061" s="17" t="n">
        <v>2</v>
      </c>
      <c r="I1061" s="18" t="n">
        <v>6</v>
      </c>
      <c r="J1061" s="19" t="n">
        <v>16</v>
      </c>
      <c r="K1061" s="20" t="n">
        <v>20</v>
      </c>
      <c r="L1061" s="21" t="n">
        <v>33</v>
      </c>
      <c r="M1061" s="22" t="n">
        <v>41</v>
      </c>
      <c r="N1061" s="15" t="n">
        <f aca="false">SUMPRODUCT(COUNTIF(G1061:L1061,번호조회!$B$4:$B$9))</f>
        <v>0</v>
      </c>
    </row>
    <row r="1062" customFormat="false" ht="16.5" hidden="false" customHeight="true" outlineLevel="0" collapsed="false">
      <c r="E1062" s="1" t="n">
        <f aca="false">$E$13-($F$13-F1062)*7</f>
        <v>38871</v>
      </c>
      <c r="F1062" s="12" t="n">
        <v>183</v>
      </c>
      <c r="G1062" s="16" t="n">
        <v>2</v>
      </c>
      <c r="H1062" s="17" t="n">
        <v>18</v>
      </c>
      <c r="I1062" s="18" t="n">
        <v>24</v>
      </c>
      <c r="J1062" s="19" t="n">
        <v>34</v>
      </c>
      <c r="K1062" s="20" t="n">
        <v>40</v>
      </c>
      <c r="L1062" s="21" t="n">
        <v>42</v>
      </c>
      <c r="M1062" s="22" t="n">
        <v>5</v>
      </c>
      <c r="N1062" s="15" t="n">
        <f aca="false">SUMPRODUCT(COUNTIF(G1062:L1062,번호조회!$B$4:$B$9))</f>
        <v>0</v>
      </c>
    </row>
    <row r="1063" customFormat="false" ht="16.5" hidden="false" customHeight="true" outlineLevel="0" collapsed="false">
      <c r="E1063" s="1" t="n">
        <f aca="false">$E$13-($F$13-F1063)*7</f>
        <v>38864</v>
      </c>
      <c r="F1063" s="12" t="n">
        <v>182</v>
      </c>
      <c r="G1063" s="16" t="n">
        <v>13</v>
      </c>
      <c r="H1063" s="17" t="n">
        <v>15</v>
      </c>
      <c r="I1063" s="18" t="n">
        <v>27</v>
      </c>
      <c r="J1063" s="19" t="n">
        <v>29</v>
      </c>
      <c r="K1063" s="20" t="n">
        <v>34</v>
      </c>
      <c r="L1063" s="21" t="n">
        <v>40</v>
      </c>
      <c r="M1063" s="22" t="n">
        <v>35</v>
      </c>
      <c r="N1063" s="15" t="n">
        <f aca="false">SUMPRODUCT(COUNTIF(G1063:L1063,번호조회!$B$4:$B$9))</f>
        <v>0</v>
      </c>
    </row>
    <row r="1064" customFormat="false" ht="16.5" hidden="false" customHeight="true" outlineLevel="0" collapsed="false">
      <c r="E1064" s="1" t="n">
        <f aca="false">$E$13-($F$13-F1064)*7</f>
        <v>38857</v>
      </c>
      <c r="F1064" s="12" t="n">
        <v>181</v>
      </c>
      <c r="G1064" s="16" t="n">
        <v>14</v>
      </c>
      <c r="H1064" s="17" t="n">
        <v>21</v>
      </c>
      <c r="I1064" s="18" t="n">
        <v>23</v>
      </c>
      <c r="J1064" s="19" t="n">
        <v>32</v>
      </c>
      <c r="K1064" s="20" t="n">
        <v>40</v>
      </c>
      <c r="L1064" s="21" t="n">
        <v>45</v>
      </c>
      <c r="M1064" s="22" t="n">
        <v>44</v>
      </c>
      <c r="N1064" s="15" t="n">
        <f aca="false">SUMPRODUCT(COUNTIF(G1064:L1064,번호조회!$B$4:$B$9))</f>
        <v>0</v>
      </c>
    </row>
    <row r="1065" customFormat="false" ht="16.5" hidden="false" customHeight="true" outlineLevel="0" collapsed="false">
      <c r="E1065" s="1" t="n">
        <f aca="false">$E$13-($F$13-F1065)*7</f>
        <v>38850</v>
      </c>
      <c r="F1065" s="12" t="n">
        <v>180</v>
      </c>
      <c r="G1065" s="16" t="n">
        <v>2</v>
      </c>
      <c r="H1065" s="17" t="n">
        <v>15</v>
      </c>
      <c r="I1065" s="18" t="n">
        <v>20</v>
      </c>
      <c r="J1065" s="19" t="n">
        <v>21</v>
      </c>
      <c r="K1065" s="20" t="n">
        <v>29</v>
      </c>
      <c r="L1065" s="21" t="n">
        <v>34</v>
      </c>
      <c r="M1065" s="22" t="n">
        <v>22</v>
      </c>
      <c r="N1065" s="15" t="n">
        <f aca="false">SUMPRODUCT(COUNTIF(G1065:L1065,번호조회!$B$4:$B$9))</f>
        <v>0</v>
      </c>
    </row>
    <row r="1066" customFormat="false" ht="16.5" hidden="false" customHeight="true" outlineLevel="0" collapsed="false">
      <c r="E1066" s="1" t="n">
        <f aca="false">$E$13-($F$13-F1066)*7</f>
        <v>38843</v>
      </c>
      <c r="F1066" s="12" t="n">
        <v>179</v>
      </c>
      <c r="G1066" s="16" t="n">
        <v>5</v>
      </c>
      <c r="H1066" s="17" t="n">
        <v>9</v>
      </c>
      <c r="I1066" s="18" t="n">
        <v>17</v>
      </c>
      <c r="J1066" s="19" t="n">
        <v>25</v>
      </c>
      <c r="K1066" s="20" t="n">
        <v>39</v>
      </c>
      <c r="L1066" s="21" t="n">
        <v>43</v>
      </c>
      <c r="M1066" s="22" t="n">
        <v>32</v>
      </c>
      <c r="N1066" s="15" t="n">
        <f aca="false">SUMPRODUCT(COUNTIF(G1066:L1066,번호조회!$B$4:$B$9))</f>
        <v>0</v>
      </c>
    </row>
    <row r="1067" customFormat="false" ht="16.5" hidden="false" customHeight="true" outlineLevel="0" collapsed="false">
      <c r="E1067" s="1" t="n">
        <f aca="false">$E$13-($F$13-F1067)*7</f>
        <v>38836</v>
      </c>
      <c r="F1067" s="12" t="n">
        <v>178</v>
      </c>
      <c r="G1067" s="16" t="n">
        <v>1</v>
      </c>
      <c r="H1067" s="17" t="n">
        <v>5</v>
      </c>
      <c r="I1067" s="18" t="n">
        <v>11</v>
      </c>
      <c r="J1067" s="19" t="n">
        <v>12</v>
      </c>
      <c r="K1067" s="20" t="n">
        <v>18</v>
      </c>
      <c r="L1067" s="21" t="n">
        <v>23</v>
      </c>
      <c r="M1067" s="22" t="n">
        <v>9</v>
      </c>
      <c r="N1067" s="15" t="n">
        <f aca="false">SUMPRODUCT(COUNTIF(G1067:L1067,번호조회!$B$4:$B$9))</f>
        <v>0</v>
      </c>
    </row>
    <row r="1068" customFormat="false" ht="16.5" hidden="false" customHeight="true" outlineLevel="0" collapsed="false">
      <c r="E1068" s="1" t="n">
        <f aca="false">$E$13-($F$13-F1068)*7</f>
        <v>38829</v>
      </c>
      <c r="F1068" s="12" t="n">
        <v>177</v>
      </c>
      <c r="G1068" s="16" t="n">
        <v>1</v>
      </c>
      <c r="H1068" s="17" t="n">
        <v>10</v>
      </c>
      <c r="I1068" s="18" t="n">
        <v>13</v>
      </c>
      <c r="J1068" s="19" t="n">
        <v>16</v>
      </c>
      <c r="K1068" s="20" t="n">
        <v>37</v>
      </c>
      <c r="L1068" s="21" t="n">
        <v>43</v>
      </c>
      <c r="M1068" s="22" t="n">
        <v>6</v>
      </c>
      <c r="N1068" s="15" t="n">
        <f aca="false">SUMPRODUCT(COUNTIF(G1068:L1068,번호조회!$B$4:$B$9))</f>
        <v>0</v>
      </c>
    </row>
    <row r="1069" customFormat="false" ht="16.5" hidden="false" customHeight="true" outlineLevel="0" collapsed="false">
      <c r="E1069" s="1" t="n">
        <f aca="false">$E$13-($F$13-F1069)*7</f>
        <v>38822</v>
      </c>
      <c r="F1069" s="12" t="n">
        <v>176</v>
      </c>
      <c r="G1069" s="16" t="n">
        <v>4</v>
      </c>
      <c r="H1069" s="17" t="n">
        <v>17</v>
      </c>
      <c r="I1069" s="18" t="n">
        <v>30</v>
      </c>
      <c r="J1069" s="19" t="n">
        <v>32</v>
      </c>
      <c r="K1069" s="20" t="n">
        <v>33</v>
      </c>
      <c r="L1069" s="21" t="n">
        <v>34</v>
      </c>
      <c r="M1069" s="22" t="n">
        <v>15</v>
      </c>
      <c r="N1069" s="15" t="n">
        <f aca="false">SUMPRODUCT(COUNTIF(G1069:L1069,번호조회!$B$4:$B$9))</f>
        <v>0</v>
      </c>
    </row>
    <row r="1070" customFormat="false" ht="16.5" hidden="false" customHeight="true" outlineLevel="0" collapsed="false">
      <c r="E1070" s="1" t="n">
        <f aca="false">$E$13-($F$13-F1070)*7</f>
        <v>38815</v>
      </c>
      <c r="F1070" s="12" t="n">
        <v>175</v>
      </c>
      <c r="G1070" s="16" t="n">
        <v>19</v>
      </c>
      <c r="H1070" s="17" t="n">
        <v>26</v>
      </c>
      <c r="I1070" s="18" t="n">
        <v>28</v>
      </c>
      <c r="J1070" s="19" t="n">
        <v>31</v>
      </c>
      <c r="K1070" s="20" t="n">
        <v>33</v>
      </c>
      <c r="L1070" s="21" t="n">
        <v>36</v>
      </c>
      <c r="M1070" s="22" t="n">
        <v>17</v>
      </c>
      <c r="N1070" s="15" t="n">
        <f aca="false">SUMPRODUCT(COUNTIF(G1070:L1070,번호조회!$B$4:$B$9))</f>
        <v>0</v>
      </c>
    </row>
    <row r="1071" customFormat="false" ht="16.5" hidden="false" customHeight="true" outlineLevel="0" collapsed="false">
      <c r="E1071" s="1" t="n">
        <f aca="false">$E$13-($F$13-F1071)*7</f>
        <v>38808</v>
      </c>
      <c r="F1071" s="12" t="n">
        <v>174</v>
      </c>
      <c r="G1071" s="16" t="n">
        <v>13</v>
      </c>
      <c r="H1071" s="17" t="n">
        <v>14</v>
      </c>
      <c r="I1071" s="18" t="n">
        <v>18</v>
      </c>
      <c r="J1071" s="19" t="n">
        <v>22</v>
      </c>
      <c r="K1071" s="20" t="n">
        <v>35</v>
      </c>
      <c r="L1071" s="21" t="n">
        <v>39</v>
      </c>
      <c r="M1071" s="22" t="n">
        <v>16</v>
      </c>
      <c r="N1071" s="15" t="n">
        <f aca="false">SUMPRODUCT(COUNTIF(G1071:L1071,번호조회!$B$4:$B$9))</f>
        <v>0</v>
      </c>
    </row>
    <row r="1072" customFormat="false" ht="16.5" hidden="false" customHeight="true" outlineLevel="0" collapsed="false">
      <c r="E1072" s="1" t="n">
        <f aca="false">$E$13-($F$13-F1072)*7</f>
        <v>38801</v>
      </c>
      <c r="F1072" s="12" t="n">
        <v>173</v>
      </c>
      <c r="G1072" s="16" t="n">
        <v>3</v>
      </c>
      <c r="H1072" s="17" t="n">
        <v>9</v>
      </c>
      <c r="I1072" s="18" t="n">
        <v>24</v>
      </c>
      <c r="J1072" s="19" t="n">
        <v>30</v>
      </c>
      <c r="K1072" s="20" t="n">
        <v>33</v>
      </c>
      <c r="L1072" s="21" t="n">
        <v>34</v>
      </c>
      <c r="M1072" s="22" t="n">
        <v>18</v>
      </c>
      <c r="N1072" s="15" t="n">
        <f aca="false">SUMPRODUCT(COUNTIF(G1072:L1072,번호조회!$B$4:$B$9))</f>
        <v>0</v>
      </c>
    </row>
    <row r="1073" customFormat="false" ht="16.5" hidden="false" customHeight="true" outlineLevel="0" collapsed="false">
      <c r="E1073" s="1" t="n">
        <f aca="false">$E$13-($F$13-F1073)*7</f>
        <v>38794</v>
      </c>
      <c r="F1073" s="12" t="n">
        <v>172</v>
      </c>
      <c r="G1073" s="16" t="n">
        <v>4</v>
      </c>
      <c r="H1073" s="17" t="n">
        <v>19</v>
      </c>
      <c r="I1073" s="18" t="n">
        <v>21</v>
      </c>
      <c r="J1073" s="19" t="n">
        <v>24</v>
      </c>
      <c r="K1073" s="20" t="n">
        <v>26</v>
      </c>
      <c r="L1073" s="21" t="n">
        <v>41</v>
      </c>
      <c r="M1073" s="22" t="n">
        <v>35</v>
      </c>
      <c r="N1073" s="15" t="n">
        <f aca="false">SUMPRODUCT(COUNTIF(G1073:L1073,번호조회!$B$4:$B$9))</f>
        <v>0</v>
      </c>
    </row>
    <row r="1074" customFormat="false" ht="16.5" hidden="false" customHeight="true" outlineLevel="0" collapsed="false">
      <c r="E1074" s="1" t="n">
        <f aca="false">$E$13-($F$13-F1074)*7</f>
        <v>38787</v>
      </c>
      <c r="F1074" s="12" t="n">
        <v>171</v>
      </c>
      <c r="G1074" s="16" t="n">
        <v>4</v>
      </c>
      <c r="H1074" s="17" t="n">
        <v>16</v>
      </c>
      <c r="I1074" s="18" t="n">
        <v>25</v>
      </c>
      <c r="J1074" s="19" t="n">
        <v>29</v>
      </c>
      <c r="K1074" s="20" t="n">
        <v>34</v>
      </c>
      <c r="L1074" s="21" t="n">
        <v>35</v>
      </c>
      <c r="M1074" s="22" t="n">
        <v>1</v>
      </c>
      <c r="N1074" s="15" t="n">
        <f aca="false">SUMPRODUCT(COUNTIF(G1074:L1074,번호조회!$B$4:$B$9))</f>
        <v>0</v>
      </c>
    </row>
    <row r="1075" customFormat="false" ht="16.5" hidden="false" customHeight="true" outlineLevel="0" collapsed="false">
      <c r="E1075" s="1" t="n">
        <f aca="false">$E$13-($F$13-F1075)*7</f>
        <v>38780</v>
      </c>
      <c r="F1075" s="12" t="n">
        <v>170</v>
      </c>
      <c r="G1075" s="16" t="n">
        <v>2</v>
      </c>
      <c r="H1075" s="17" t="n">
        <v>11</v>
      </c>
      <c r="I1075" s="18" t="n">
        <v>13</v>
      </c>
      <c r="J1075" s="19" t="n">
        <v>15</v>
      </c>
      <c r="K1075" s="20" t="n">
        <v>31</v>
      </c>
      <c r="L1075" s="21" t="n">
        <v>42</v>
      </c>
      <c r="M1075" s="22" t="n">
        <v>10</v>
      </c>
      <c r="N1075" s="15" t="n">
        <f aca="false">SUMPRODUCT(COUNTIF(G1075:L1075,번호조회!$B$4:$B$9))</f>
        <v>0</v>
      </c>
    </row>
    <row r="1076" customFormat="false" ht="16.5" hidden="false" customHeight="true" outlineLevel="0" collapsed="false">
      <c r="E1076" s="1" t="n">
        <f aca="false">$E$13-($F$13-F1076)*7</f>
        <v>38773</v>
      </c>
      <c r="F1076" s="12" t="n">
        <v>169</v>
      </c>
      <c r="G1076" s="16" t="n">
        <v>16</v>
      </c>
      <c r="H1076" s="17" t="n">
        <v>27</v>
      </c>
      <c r="I1076" s="18" t="n">
        <v>35</v>
      </c>
      <c r="J1076" s="19" t="n">
        <v>37</v>
      </c>
      <c r="K1076" s="20" t="n">
        <v>43</v>
      </c>
      <c r="L1076" s="21" t="n">
        <v>45</v>
      </c>
      <c r="M1076" s="22" t="n">
        <v>19</v>
      </c>
      <c r="N1076" s="15" t="n">
        <f aca="false">SUMPRODUCT(COUNTIF(G1076:L1076,번호조회!$B$4:$B$9))</f>
        <v>0</v>
      </c>
    </row>
    <row r="1077" customFormat="false" ht="16.5" hidden="false" customHeight="true" outlineLevel="0" collapsed="false">
      <c r="E1077" s="1" t="n">
        <f aca="false">$E$13-($F$13-F1077)*7</f>
        <v>38766</v>
      </c>
      <c r="F1077" s="12" t="n">
        <v>168</v>
      </c>
      <c r="G1077" s="16" t="n">
        <v>3</v>
      </c>
      <c r="H1077" s="17" t="n">
        <v>10</v>
      </c>
      <c r="I1077" s="18" t="n">
        <v>31</v>
      </c>
      <c r="J1077" s="19" t="n">
        <v>40</v>
      </c>
      <c r="K1077" s="20" t="n">
        <v>42</v>
      </c>
      <c r="L1077" s="21" t="n">
        <v>43</v>
      </c>
      <c r="M1077" s="22" t="n">
        <v>30</v>
      </c>
      <c r="N1077" s="15" t="n">
        <f aca="false">SUMPRODUCT(COUNTIF(G1077:L1077,번호조회!$B$4:$B$9))</f>
        <v>0</v>
      </c>
    </row>
    <row r="1078" customFormat="false" ht="16.5" hidden="false" customHeight="true" outlineLevel="0" collapsed="false">
      <c r="E1078" s="1" t="n">
        <f aca="false">$E$13-($F$13-F1078)*7</f>
        <v>38759</v>
      </c>
      <c r="F1078" s="12" t="n">
        <v>167</v>
      </c>
      <c r="G1078" s="16" t="n">
        <v>24</v>
      </c>
      <c r="H1078" s="17" t="n">
        <v>27</v>
      </c>
      <c r="I1078" s="18" t="n">
        <v>28</v>
      </c>
      <c r="J1078" s="19" t="n">
        <v>30</v>
      </c>
      <c r="K1078" s="20" t="n">
        <v>36</v>
      </c>
      <c r="L1078" s="21" t="n">
        <v>39</v>
      </c>
      <c r="M1078" s="22" t="n">
        <v>4</v>
      </c>
      <c r="N1078" s="15" t="n">
        <f aca="false">SUMPRODUCT(COUNTIF(G1078:L1078,번호조회!$B$4:$B$9))</f>
        <v>0</v>
      </c>
    </row>
    <row r="1079" customFormat="false" ht="16.5" hidden="false" customHeight="true" outlineLevel="0" collapsed="false">
      <c r="E1079" s="1" t="n">
        <f aca="false">$E$13-($F$13-F1079)*7</f>
        <v>38752</v>
      </c>
      <c r="F1079" s="12" t="n">
        <v>166</v>
      </c>
      <c r="G1079" s="16" t="n">
        <v>9</v>
      </c>
      <c r="H1079" s="17" t="n">
        <v>12</v>
      </c>
      <c r="I1079" s="18" t="n">
        <v>27</v>
      </c>
      <c r="J1079" s="19" t="n">
        <v>36</v>
      </c>
      <c r="K1079" s="20" t="n">
        <v>39</v>
      </c>
      <c r="L1079" s="21" t="n">
        <v>45</v>
      </c>
      <c r="M1079" s="22" t="n">
        <v>14</v>
      </c>
      <c r="N1079" s="15" t="n">
        <f aca="false">SUMPRODUCT(COUNTIF(G1079:L1079,번호조회!$B$4:$B$9))</f>
        <v>0</v>
      </c>
    </row>
    <row r="1080" customFormat="false" ht="16.5" hidden="false" customHeight="true" outlineLevel="0" collapsed="false">
      <c r="E1080" s="1" t="n">
        <f aca="false">$E$13-($F$13-F1080)*7</f>
        <v>38745</v>
      </c>
      <c r="F1080" s="12" t="n">
        <v>165</v>
      </c>
      <c r="G1080" s="16" t="n">
        <v>5</v>
      </c>
      <c r="H1080" s="17" t="n">
        <v>13</v>
      </c>
      <c r="I1080" s="18" t="n">
        <v>18</v>
      </c>
      <c r="J1080" s="19" t="n">
        <v>19</v>
      </c>
      <c r="K1080" s="20" t="n">
        <v>22</v>
      </c>
      <c r="L1080" s="21" t="n">
        <v>42</v>
      </c>
      <c r="M1080" s="22" t="n">
        <v>31</v>
      </c>
      <c r="N1080" s="15" t="n">
        <f aca="false">SUMPRODUCT(COUNTIF(G1080:L1080,번호조회!$B$4:$B$9))</f>
        <v>0</v>
      </c>
    </row>
    <row r="1081" customFormat="false" ht="16.5" hidden="false" customHeight="true" outlineLevel="0" collapsed="false">
      <c r="E1081" s="1" t="n">
        <f aca="false">$E$13-($F$13-F1081)*7</f>
        <v>38738</v>
      </c>
      <c r="F1081" s="12" t="n">
        <v>164</v>
      </c>
      <c r="G1081" s="16" t="n">
        <v>6</v>
      </c>
      <c r="H1081" s="17" t="n">
        <v>9</v>
      </c>
      <c r="I1081" s="18" t="n">
        <v>10</v>
      </c>
      <c r="J1081" s="19" t="n">
        <v>11</v>
      </c>
      <c r="K1081" s="20" t="n">
        <v>39</v>
      </c>
      <c r="L1081" s="21" t="n">
        <v>41</v>
      </c>
      <c r="M1081" s="22" t="n">
        <v>27</v>
      </c>
      <c r="N1081" s="15" t="n">
        <f aca="false">SUMPRODUCT(COUNTIF(G1081:L1081,번호조회!$B$4:$B$9))</f>
        <v>0</v>
      </c>
    </row>
    <row r="1082" customFormat="false" ht="16.5" hidden="false" customHeight="true" outlineLevel="0" collapsed="false">
      <c r="E1082" s="1" t="n">
        <f aca="false">$E$13-($F$13-F1082)*7</f>
        <v>38731</v>
      </c>
      <c r="F1082" s="12" t="n">
        <v>163</v>
      </c>
      <c r="G1082" s="16" t="n">
        <v>7</v>
      </c>
      <c r="H1082" s="17" t="n">
        <v>11</v>
      </c>
      <c r="I1082" s="18" t="n">
        <v>26</v>
      </c>
      <c r="J1082" s="19" t="n">
        <v>28</v>
      </c>
      <c r="K1082" s="20" t="n">
        <v>29</v>
      </c>
      <c r="L1082" s="21" t="n">
        <v>44</v>
      </c>
      <c r="M1082" s="22" t="n">
        <v>16</v>
      </c>
      <c r="N1082" s="15" t="n">
        <f aca="false">SUMPRODUCT(COUNTIF(G1082:L1082,번호조회!$B$4:$B$9))</f>
        <v>0</v>
      </c>
    </row>
    <row r="1083" customFormat="false" ht="16.5" hidden="false" customHeight="true" outlineLevel="0" collapsed="false">
      <c r="E1083" s="1" t="n">
        <f aca="false">$E$13-($F$13-F1083)*7</f>
        <v>38724</v>
      </c>
      <c r="F1083" s="12" t="n">
        <v>162</v>
      </c>
      <c r="G1083" s="16" t="n">
        <v>1</v>
      </c>
      <c r="H1083" s="17" t="n">
        <v>5</v>
      </c>
      <c r="I1083" s="18" t="n">
        <v>21</v>
      </c>
      <c r="J1083" s="19" t="n">
        <v>25</v>
      </c>
      <c r="K1083" s="20" t="n">
        <v>38</v>
      </c>
      <c r="L1083" s="21" t="n">
        <v>41</v>
      </c>
      <c r="M1083" s="22" t="n">
        <v>24</v>
      </c>
      <c r="N1083" s="15" t="n">
        <f aca="false">SUMPRODUCT(COUNTIF(G1083:L1083,번호조회!$B$4:$B$9))</f>
        <v>0</v>
      </c>
    </row>
    <row r="1084" customFormat="false" ht="16.5" hidden="false" customHeight="true" outlineLevel="0" collapsed="false">
      <c r="E1084" s="1" t="n">
        <f aca="false">$E$13-($F$13-F1084)*7</f>
        <v>38717</v>
      </c>
      <c r="F1084" s="12" t="n">
        <v>161</v>
      </c>
      <c r="G1084" s="16" t="n">
        <v>22</v>
      </c>
      <c r="H1084" s="17" t="n">
        <v>34</v>
      </c>
      <c r="I1084" s="18" t="n">
        <v>36</v>
      </c>
      <c r="J1084" s="19" t="n">
        <v>40</v>
      </c>
      <c r="K1084" s="20" t="n">
        <v>42</v>
      </c>
      <c r="L1084" s="21" t="n">
        <v>45</v>
      </c>
      <c r="M1084" s="22" t="n">
        <v>44</v>
      </c>
      <c r="N1084" s="15" t="n">
        <f aca="false">SUMPRODUCT(COUNTIF(G1084:L1084,번호조회!$B$4:$B$9))</f>
        <v>0</v>
      </c>
    </row>
    <row r="1085" customFormat="false" ht="16.5" hidden="false" customHeight="true" outlineLevel="0" collapsed="false">
      <c r="E1085" s="1" t="n">
        <f aca="false">$E$13-($F$13-F1085)*7</f>
        <v>38710</v>
      </c>
      <c r="F1085" s="12" t="n">
        <v>160</v>
      </c>
      <c r="G1085" s="16" t="n">
        <v>3</v>
      </c>
      <c r="H1085" s="17" t="n">
        <v>7</v>
      </c>
      <c r="I1085" s="18" t="n">
        <v>8</v>
      </c>
      <c r="J1085" s="19" t="n">
        <v>34</v>
      </c>
      <c r="K1085" s="20" t="n">
        <v>39</v>
      </c>
      <c r="L1085" s="21" t="n">
        <v>41</v>
      </c>
      <c r="M1085" s="22" t="n">
        <v>1</v>
      </c>
      <c r="N1085" s="15" t="n">
        <f aca="false">SUMPRODUCT(COUNTIF(G1085:L1085,번호조회!$B$4:$B$9))</f>
        <v>0</v>
      </c>
    </row>
    <row r="1086" customFormat="false" ht="16.5" hidden="false" customHeight="true" outlineLevel="0" collapsed="false">
      <c r="E1086" s="1" t="n">
        <f aca="false">$E$13-($F$13-F1086)*7</f>
        <v>38703</v>
      </c>
      <c r="F1086" s="12" t="n">
        <v>159</v>
      </c>
      <c r="G1086" s="16" t="n">
        <v>1</v>
      </c>
      <c r="H1086" s="17" t="n">
        <v>18</v>
      </c>
      <c r="I1086" s="18" t="n">
        <v>30</v>
      </c>
      <c r="J1086" s="19" t="n">
        <v>41</v>
      </c>
      <c r="K1086" s="20" t="n">
        <v>42</v>
      </c>
      <c r="L1086" s="21" t="n">
        <v>43</v>
      </c>
      <c r="M1086" s="22" t="n">
        <v>32</v>
      </c>
      <c r="N1086" s="15" t="n">
        <f aca="false">SUMPRODUCT(COUNTIF(G1086:L1086,번호조회!$B$4:$B$9))</f>
        <v>0</v>
      </c>
    </row>
    <row r="1087" customFormat="false" ht="16.5" hidden="false" customHeight="true" outlineLevel="0" collapsed="false">
      <c r="E1087" s="1" t="n">
        <f aca="false">$E$13-($F$13-F1087)*7</f>
        <v>38696</v>
      </c>
      <c r="F1087" s="12" t="n">
        <v>158</v>
      </c>
      <c r="G1087" s="16" t="n">
        <v>4</v>
      </c>
      <c r="H1087" s="17" t="n">
        <v>9</v>
      </c>
      <c r="I1087" s="18" t="n">
        <v>13</v>
      </c>
      <c r="J1087" s="19" t="n">
        <v>18</v>
      </c>
      <c r="K1087" s="20" t="n">
        <v>21</v>
      </c>
      <c r="L1087" s="21" t="n">
        <v>34</v>
      </c>
      <c r="M1087" s="22" t="n">
        <v>7</v>
      </c>
      <c r="N1087" s="15" t="n">
        <f aca="false">SUMPRODUCT(COUNTIF(G1087:L1087,번호조회!$B$4:$B$9))</f>
        <v>0</v>
      </c>
    </row>
    <row r="1088" customFormat="false" ht="16.5" hidden="false" customHeight="true" outlineLevel="0" collapsed="false">
      <c r="E1088" s="1" t="n">
        <f aca="false">$E$13-($F$13-F1088)*7</f>
        <v>38689</v>
      </c>
      <c r="F1088" s="12" t="n">
        <v>157</v>
      </c>
      <c r="G1088" s="16" t="n">
        <v>19</v>
      </c>
      <c r="H1088" s="17" t="n">
        <v>26</v>
      </c>
      <c r="I1088" s="18" t="n">
        <v>30</v>
      </c>
      <c r="J1088" s="19" t="n">
        <v>33</v>
      </c>
      <c r="K1088" s="20" t="n">
        <v>35</v>
      </c>
      <c r="L1088" s="21" t="n">
        <v>39</v>
      </c>
      <c r="M1088" s="22" t="n">
        <v>37</v>
      </c>
      <c r="N1088" s="15" t="n">
        <f aca="false">SUMPRODUCT(COUNTIF(G1088:L1088,번호조회!$B$4:$B$9))</f>
        <v>0</v>
      </c>
    </row>
    <row r="1089" customFormat="false" ht="16.5" hidden="false" customHeight="true" outlineLevel="0" collapsed="false">
      <c r="E1089" s="1" t="n">
        <f aca="false">$E$13-($F$13-F1089)*7</f>
        <v>38682</v>
      </c>
      <c r="F1089" s="12" t="n">
        <v>156</v>
      </c>
      <c r="G1089" s="16" t="n">
        <v>5</v>
      </c>
      <c r="H1089" s="17" t="n">
        <v>18</v>
      </c>
      <c r="I1089" s="18" t="n">
        <v>28</v>
      </c>
      <c r="J1089" s="19" t="n">
        <v>30</v>
      </c>
      <c r="K1089" s="20" t="n">
        <v>42</v>
      </c>
      <c r="L1089" s="21" t="n">
        <v>45</v>
      </c>
      <c r="M1089" s="22" t="n">
        <v>2</v>
      </c>
      <c r="N1089" s="15" t="n">
        <f aca="false">SUMPRODUCT(COUNTIF(G1089:L1089,번호조회!$B$4:$B$9))</f>
        <v>0</v>
      </c>
    </row>
    <row r="1090" customFormat="false" ht="16.5" hidden="false" customHeight="true" outlineLevel="0" collapsed="false">
      <c r="E1090" s="1" t="n">
        <f aca="false">$E$13-($F$13-F1090)*7</f>
        <v>38675</v>
      </c>
      <c r="F1090" s="12" t="n">
        <v>155</v>
      </c>
      <c r="G1090" s="16" t="n">
        <v>16</v>
      </c>
      <c r="H1090" s="17" t="n">
        <v>19</v>
      </c>
      <c r="I1090" s="18" t="n">
        <v>20</v>
      </c>
      <c r="J1090" s="19" t="n">
        <v>32</v>
      </c>
      <c r="K1090" s="20" t="n">
        <v>33</v>
      </c>
      <c r="L1090" s="21" t="n">
        <v>41</v>
      </c>
      <c r="M1090" s="22" t="n">
        <v>4</v>
      </c>
      <c r="N1090" s="15" t="n">
        <f aca="false">SUMPRODUCT(COUNTIF(G1090:L1090,번호조회!$B$4:$B$9))</f>
        <v>0</v>
      </c>
    </row>
    <row r="1091" customFormat="false" ht="16.5" hidden="false" customHeight="true" outlineLevel="0" collapsed="false">
      <c r="E1091" s="1" t="n">
        <f aca="false">$E$13-($F$13-F1091)*7</f>
        <v>38668</v>
      </c>
      <c r="F1091" s="12" t="n">
        <v>154</v>
      </c>
      <c r="G1091" s="16" t="n">
        <v>6</v>
      </c>
      <c r="H1091" s="17" t="n">
        <v>19</v>
      </c>
      <c r="I1091" s="18" t="n">
        <v>21</v>
      </c>
      <c r="J1091" s="19" t="n">
        <v>35</v>
      </c>
      <c r="K1091" s="20" t="n">
        <v>40</v>
      </c>
      <c r="L1091" s="21" t="n">
        <v>45</v>
      </c>
      <c r="M1091" s="22" t="n">
        <v>20</v>
      </c>
      <c r="N1091" s="15" t="n">
        <f aca="false">SUMPRODUCT(COUNTIF(G1091:L1091,번호조회!$B$4:$B$9))</f>
        <v>0</v>
      </c>
    </row>
    <row r="1092" customFormat="false" ht="16.5" hidden="false" customHeight="true" outlineLevel="0" collapsed="false">
      <c r="E1092" s="1" t="n">
        <f aca="false">$E$13-($F$13-F1092)*7</f>
        <v>38661</v>
      </c>
      <c r="F1092" s="12" t="n">
        <v>153</v>
      </c>
      <c r="G1092" s="16" t="n">
        <v>3</v>
      </c>
      <c r="H1092" s="17" t="n">
        <v>8</v>
      </c>
      <c r="I1092" s="18" t="n">
        <v>11</v>
      </c>
      <c r="J1092" s="19" t="n">
        <v>12</v>
      </c>
      <c r="K1092" s="20" t="n">
        <v>13</v>
      </c>
      <c r="L1092" s="21" t="n">
        <v>36</v>
      </c>
      <c r="M1092" s="22" t="n">
        <v>33</v>
      </c>
      <c r="N1092" s="15" t="n">
        <f aca="false">SUMPRODUCT(COUNTIF(G1092:L1092,번호조회!$B$4:$B$9))</f>
        <v>0</v>
      </c>
    </row>
    <row r="1093" customFormat="false" ht="16.5" hidden="false" customHeight="true" outlineLevel="0" collapsed="false">
      <c r="E1093" s="1" t="n">
        <f aca="false">$E$13-($F$13-F1093)*7</f>
        <v>38654</v>
      </c>
      <c r="F1093" s="12" t="n">
        <v>152</v>
      </c>
      <c r="G1093" s="16" t="n">
        <v>1</v>
      </c>
      <c r="H1093" s="17" t="n">
        <v>5</v>
      </c>
      <c r="I1093" s="18" t="n">
        <v>13</v>
      </c>
      <c r="J1093" s="19" t="n">
        <v>26</v>
      </c>
      <c r="K1093" s="20" t="n">
        <v>29</v>
      </c>
      <c r="L1093" s="21" t="n">
        <v>34</v>
      </c>
      <c r="M1093" s="22" t="n">
        <v>43</v>
      </c>
      <c r="N1093" s="15" t="n">
        <f aca="false">SUMPRODUCT(COUNTIF(G1093:L1093,번호조회!$B$4:$B$9))</f>
        <v>0</v>
      </c>
    </row>
    <row r="1094" customFormat="false" ht="16.5" hidden="false" customHeight="true" outlineLevel="0" collapsed="false">
      <c r="E1094" s="1" t="n">
        <f aca="false">$E$13-($F$13-F1094)*7</f>
        <v>38647</v>
      </c>
      <c r="F1094" s="12" t="n">
        <v>151</v>
      </c>
      <c r="G1094" s="16" t="n">
        <v>1</v>
      </c>
      <c r="H1094" s="17" t="n">
        <v>2</v>
      </c>
      <c r="I1094" s="18" t="n">
        <v>10</v>
      </c>
      <c r="J1094" s="19" t="n">
        <v>13</v>
      </c>
      <c r="K1094" s="20" t="n">
        <v>18</v>
      </c>
      <c r="L1094" s="21" t="n">
        <v>19</v>
      </c>
      <c r="M1094" s="22" t="n">
        <v>15</v>
      </c>
      <c r="N1094" s="15" t="n">
        <f aca="false">SUMPRODUCT(COUNTIF(G1094:L1094,번호조회!$B$4:$B$9))</f>
        <v>0</v>
      </c>
    </row>
    <row r="1095" customFormat="false" ht="16.5" hidden="false" customHeight="true" outlineLevel="0" collapsed="false">
      <c r="E1095" s="1" t="n">
        <f aca="false">$E$13-($F$13-F1095)*7</f>
        <v>38640</v>
      </c>
      <c r="F1095" s="12" t="n">
        <v>150</v>
      </c>
      <c r="G1095" s="16" t="n">
        <v>2</v>
      </c>
      <c r="H1095" s="17" t="n">
        <v>18</v>
      </c>
      <c r="I1095" s="18" t="n">
        <v>25</v>
      </c>
      <c r="J1095" s="19" t="n">
        <v>28</v>
      </c>
      <c r="K1095" s="20" t="n">
        <v>37</v>
      </c>
      <c r="L1095" s="21" t="n">
        <v>39</v>
      </c>
      <c r="M1095" s="22" t="n">
        <v>16</v>
      </c>
      <c r="N1095" s="15" t="n">
        <f aca="false">SUMPRODUCT(COUNTIF(G1095:L1095,번호조회!$B$4:$B$9))</f>
        <v>0</v>
      </c>
    </row>
    <row r="1096" customFormat="false" ht="16.5" hidden="false" customHeight="true" outlineLevel="0" collapsed="false">
      <c r="E1096" s="1" t="n">
        <f aca="false">$E$13-($F$13-F1096)*7</f>
        <v>38633</v>
      </c>
      <c r="F1096" s="12" t="n">
        <v>149</v>
      </c>
      <c r="G1096" s="16" t="n">
        <v>2</v>
      </c>
      <c r="H1096" s="17" t="n">
        <v>11</v>
      </c>
      <c r="I1096" s="18" t="n">
        <v>21</v>
      </c>
      <c r="J1096" s="19" t="n">
        <v>34</v>
      </c>
      <c r="K1096" s="20" t="n">
        <v>41</v>
      </c>
      <c r="L1096" s="21" t="n">
        <v>42</v>
      </c>
      <c r="M1096" s="22" t="n">
        <v>27</v>
      </c>
      <c r="N1096" s="15" t="n">
        <f aca="false">SUMPRODUCT(COUNTIF(G1096:L1096,번호조회!$B$4:$B$9))</f>
        <v>0</v>
      </c>
    </row>
    <row r="1097" customFormat="false" ht="16.5" hidden="false" customHeight="true" outlineLevel="0" collapsed="false">
      <c r="E1097" s="1" t="n">
        <f aca="false">$E$13-($F$13-F1097)*7</f>
        <v>38626</v>
      </c>
      <c r="F1097" s="12" t="n">
        <v>148</v>
      </c>
      <c r="G1097" s="16" t="n">
        <v>21</v>
      </c>
      <c r="H1097" s="17" t="n">
        <v>25</v>
      </c>
      <c r="I1097" s="18" t="n">
        <v>33</v>
      </c>
      <c r="J1097" s="19" t="n">
        <v>34</v>
      </c>
      <c r="K1097" s="20" t="n">
        <v>35</v>
      </c>
      <c r="L1097" s="21" t="n">
        <v>36</v>
      </c>
      <c r="M1097" s="22" t="n">
        <v>17</v>
      </c>
      <c r="N1097" s="15" t="n">
        <f aca="false">SUMPRODUCT(COUNTIF(G1097:L1097,번호조회!$B$4:$B$9))</f>
        <v>0</v>
      </c>
    </row>
    <row r="1098" customFormat="false" ht="16.5" hidden="false" customHeight="true" outlineLevel="0" collapsed="false">
      <c r="E1098" s="1" t="n">
        <f aca="false">$E$13-($F$13-F1098)*7</f>
        <v>38619</v>
      </c>
      <c r="F1098" s="12" t="n">
        <v>147</v>
      </c>
      <c r="G1098" s="16" t="n">
        <v>4</v>
      </c>
      <c r="H1098" s="17" t="n">
        <v>6</v>
      </c>
      <c r="I1098" s="18" t="n">
        <v>13</v>
      </c>
      <c r="J1098" s="19" t="n">
        <v>21</v>
      </c>
      <c r="K1098" s="20" t="n">
        <v>40</v>
      </c>
      <c r="L1098" s="21" t="n">
        <v>42</v>
      </c>
      <c r="M1098" s="22" t="n">
        <v>36</v>
      </c>
      <c r="N1098" s="15" t="n">
        <f aca="false">SUMPRODUCT(COUNTIF(G1098:L1098,번호조회!$B$4:$B$9))</f>
        <v>0</v>
      </c>
    </row>
    <row r="1099" customFormat="false" ht="16.5" hidden="false" customHeight="true" outlineLevel="0" collapsed="false">
      <c r="E1099" s="1" t="n">
        <f aca="false">$E$13-($F$13-F1099)*7</f>
        <v>38612</v>
      </c>
      <c r="F1099" s="12" t="n">
        <v>146</v>
      </c>
      <c r="G1099" s="16" t="n">
        <v>2</v>
      </c>
      <c r="H1099" s="17" t="n">
        <v>19</v>
      </c>
      <c r="I1099" s="18" t="n">
        <v>27</v>
      </c>
      <c r="J1099" s="19" t="n">
        <v>35</v>
      </c>
      <c r="K1099" s="20" t="n">
        <v>41</v>
      </c>
      <c r="L1099" s="21" t="n">
        <v>42</v>
      </c>
      <c r="M1099" s="22" t="n">
        <v>25</v>
      </c>
      <c r="N1099" s="15" t="n">
        <f aca="false">SUMPRODUCT(COUNTIF(G1099:L1099,번호조회!$B$4:$B$9))</f>
        <v>0</v>
      </c>
    </row>
    <row r="1100" customFormat="false" ht="16.5" hidden="false" customHeight="true" outlineLevel="0" collapsed="false">
      <c r="E1100" s="1" t="n">
        <f aca="false">$E$13-($F$13-F1100)*7</f>
        <v>38605</v>
      </c>
      <c r="F1100" s="12" t="n">
        <v>145</v>
      </c>
      <c r="G1100" s="16" t="n">
        <v>2</v>
      </c>
      <c r="H1100" s="17" t="n">
        <v>3</v>
      </c>
      <c r="I1100" s="18" t="n">
        <v>13</v>
      </c>
      <c r="J1100" s="19" t="n">
        <v>20</v>
      </c>
      <c r="K1100" s="20" t="n">
        <v>27</v>
      </c>
      <c r="L1100" s="21" t="n">
        <v>44</v>
      </c>
      <c r="M1100" s="22" t="n">
        <v>9</v>
      </c>
      <c r="N1100" s="15" t="n">
        <f aca="false">SUMPRODUCT(COUNTIF(G1100:L1100,번호조회!$B$4:$B$9))</f>
        <v>0</v>
      </c>
    </row>
    <row r="1101" customFormat="false" ht="16.5" hidden="false" customHeight="true" outlineLevel="0" collapsed="false">
      <c r="E1101" s="1" t="n">
        <f aca="false">$E$13-($F$13-F1101)*7</f>
        <v>38598</v>
      </c>
      <c r="F1101" s="12" t="n">
        <v>144</v>
      </c>
      <c r="G1101" s="16" t="n">
        <v>4</v>
      </c>
      <c r="H1101" s="17" t="n">
        <v>15</v>
      </c>
      <c r="I1101" s="18" t="n">
        <v>17</v>
      </c>
      <c r="J1101" s="19" t="n">
        <v>26</v>
      </c>
      <c r="K1101" s="20" t="n">
        <v>36</v>
      </c>
      <c r="L1101" s="21" t="n">
        <v>37</v>
      </c>
      <c r="M1101" s="22" t="n">
        <v>43</v>
      </c>
      <c r="N1101" s="15" t="n">
        <f aca="false">SUMPRODUCT(COUNTIF(G1101:L1101,번호조회!$B$4:$B$9))</f>
        <v>0</v>
      </c>
    </row>
    <row r="1102" customFormat="false" ht="16.5" hidden="false" customHeight="true" outlineLevel="0" collapsed="false">
      <c r="E1102" s="1" t="n">
        <f aca="false">$E$13-($F$13-F1102)*7</f>
        <v>38591</v>
      </c>
      <c r="F1102" s="12" t="n">
        <v>143</v>
      </c>
      <c r="G1102" s="16" t="n">
        <v>26</v>
      </c>
      <c r="H1102" s="17" t="n">
        <v>27</v>
      </c>
      <c r="I1102" s="18" t="n">
        <v>28</v>
      </c>
      <c r="J1102" s="19" t="n">
        <v>42</v>
      </c>
      <c r="K1102" s="20" t="n">
        <v>43</v>
      </c>
      <c r="L1102" s="21" t="n">
        <v>45</v>
      </c>
      <c r="M1102" s="22" t="n">
        <v>8</v>
      </c>
      <c r="N1102" s="15" t="n">
        <f aca="false">SUMPRODUCT(COUNTIF(G1102:L1102,번호조회!$B$4:$B$9))</f>
        <v>0</v>
      </c>
    </row>
    <row r="1103" customFormat="false" ht="16.5" hidden="false" customHeight="true" outlineLevel="0" collapsed="false">
      <c r="E1103" s="1" t="n">
        <f aca="false">$E$13-($F$13-F1103)*7</f>
        <v>38584</v>
      </c>
      <c r="F1103" s="12" t="n">
        <v>142</v>
      </c>
      <c r="G1103" s="16" t="n">
        <v>12</v>
      </c>
      <c r="H1103" s="17" t="n">
        <v>16</v>
      </c>
      <c r="I1103" s="18" t="n">
        <v>30</v>
      </c>
      <c r="J1103" s="19" t="n">
        <v>34</v>
      </c>
      <c r="K1103" s="20" t="n">
        <v>40</v>
      </c>
      <c r="L1103" s="21" t="n">
        <v>44</v>
      </c>
      <c r="M1103" s="22" t="n">
        <v>19</v>
      </c>
      <c r="N1103" s="15" t="n">
        <f aca="false">SUMPRODUCT(COUNTIF(G1103:L1103,번호조회!$B$4:$B$9))</f>
        <v>0</v>
      </c>
    </row>
    <row r="1104" customFormat="false" ht="16.5" hidden="false" customHeight="true" outlineLevel="0" collapsed="false">
      <c r="E1104" s="1" t="n">
        <f aca="false">$E$13-($F$13-F1104)*7</f>
        <v>38577</v>
      </c>
      <c r="F1104" s="12" t="n">
        <v>141</v>
      </c>
      <c r="G1104" s="16" t="n">
        <v>8</v>
      </c>
      <c r="H1104" s="17" t="n">
        <v>12</v>
      </c>
      <c r="I1104" s="18" t="n">
        <v>29</v>
      </c>
      <c r="J1104" s="19" t="n">
        <v>31</v>
      </c>
      <c r="K1104" s="20" t="n">
        <v>42</v>
      </c>
      <c r="L1104" s="21" t="n">
        <v>43</v>
      </c>
      <c r="M1104" s="22" t="n">
        <v>2</v>
      </c>
      <c r="N1104" s="15" t="n">
        <f aca="false">SUMPRODUCT(COUNTIF(G1104:L1104,번호조회!$B$4:$B$9))</f>
        <v>0</v>
      </c>
    </row>
    <row r="1105" customFormat="false" ht="16.5" hidden="false" customHeight="true" outlineLevel="0" collapsed="false">
      <c r="E1105" s="1" t="n">
        <f aca="false">$E$13-($F$13-F1105)*7</f>
        <v>38570</v>
      </c>
      <c r="F1105" s="12" t="n">
        <v>140</v>
      </c>
      <c r="G1105" s="16" t="n">
        <v>3</v>
      </c>
      <c r="H1105" s="17" t="n">
        <v>13</v>
      </c>
      <c r="I1105" s="18" t="n">
        <v>17</v>
      </c>
      <c r="J1105" s="19" t="n">
        <v>18</v>
      </c>
      <c r="K1105" s="20" t="n">
        <v>19</v>
      </c>
      <c r="L1105" s="21" t="n">
        <v>28</v>
      </c>
      <c r="M1105" s="22" t="n">
        <v>8</v>
      </c>
      <c r="N1105" s="15" t="n">
        <f aca="false">SUMPRODUCT(COUNTIF(G1105:L1105,번호조회!$B$4:$B$9))</f>
        <v>0</v>
      </c>
    </row>
    <row r="1106" customFormat="false" ht="16.5" hidden="false" customHeight="true" outlineLevel="0" collapsed="false">
      <c r="E1106" s="1" t="n">
        <f aca="false">$E$13-($F$13-F1106)*7</f>
        <v>38563</v>
      </c>
      <c r="F1106" s="12" t="n">
        <v>139</v>
      </c>
      <c r="G1106" s="16" t="n">
        <v>9</v>
      </c>
      <c r="H1106" s="17" t="n">
        <v>11</v>
      </c>
      <c r="I1106" s="18" t="n">
        <v>15</v>
      </c>
      <c r="J1106" s="19" t="n">
        <v>20</v>
      </c>
      <c r="K1106" s="20" t="n">
        <v>28</v>
      </c>
      <c r="L1106" s="21" t="n">
        <v>43</v>
      </c>
      <c r="M1106" s="22" t="n">
        <v>13</v>
      </c>
      <c r="N1106" s="15" t="n">
        <f aca="false">SUMPRODUCT(COUNTIF(G1106:L1106,번호조회!$B$4:$B$9))</f>
        <v>0</v>
      </c>
    </row>
    <row r="1107" customFormat="false" ht="16.5" hidden="false" customHeight="true" outlineLevel="0" collapsed="false">
      <c r="E1107" s="1" t="n">
        <f aca="false">$E$13-($F$13-F1107)*7</f>
        <v>38556</v>
      </c>
      <c r="F1107" s="12" t="n">
        <v>138</v>
      </c>
      <c r="G1107" s="16" t="n">
        <v>10</v>
      </c>
      <c r="H1107" s="17" t="n">
        <v>11</v>
      </c>
      <c r="I1107" s="18" t="n">
        <v>27</v>
      </c>
      <c r="J1107" s="19" t="n">
        <v>28</v>
      </c>
      <c r="K1107" s="20" t="n">
        <v>37</v>
      </c>
      <c r="L1107" s="21" t="n">
        <v>39</v>
      </c>
      <c r="M1107" s="22" t="n">
        <v>19</v>
      </c>
      <c r="N1107" s="15" t="n">
        <f aca="false">SUMPRODUCT(COUNTIF(G1107:L1107,번호조회!$B$4:$B$9))</f>
        <v>0</v>
      </c>
    </row>
    <row r="1108" customFormat="false" ht="16.5" hidden="false" customHeight="true" outlineLevel="0" collapsed="false">
      <c r="E1108" s="1" t="n">
        <f aca="false">$E$13-($F$13-F1108)*7</f>
        <v>38549</v>
      </c>
      <c r="F1108" s="12" t="n">
        <v>137</v>
      </c>
      <c r="G1108" s="16" t="n">
        <v>7</v>
      </c>
      <c r="H1108" s="17" t="n">
        <v>9</v>
      </c>
      <c r="I1108" s="18" t="n">
        <v>20</v>
      </c>
      <c r="J1108" s="19" t="n">
        <v>25</v>
      </c>
      <c r="K1108" s="20" t="n">
        <v>36</v>
      </c>
      <c r="L1108" s="21" t="n">
        <v>39</v>
      </c>
      <c r="M1108" s="22" t="n">
        <v>15</v>
      </c>
      <c r="N1108" s="15" t="n">
        <f aca="false">SUMPRODUCT(COUNTIF(G1108:L1108,번호조회!$B$4:$B$9))</f>
        <v>0</v>
      </c>
    </row>
    <row r="1109" customFormat="false" ht="16.5" hidden="false" customHeight="true" outlineLevel="0" collapsed="false">
      <c r="E1109" s="1" t="n">
        <f aca="false">$E$13-($F$13-F1109)*7</f>
        <v>38542</v>
      </c>
      <c r="F1109" s="12" t="n">
        <v>136</v>
      </c>
      <c r="G1109" s="16" t="n">
        <v>2</v>
      </c>
      <c r="H1109" s="17" t="n">
        <v>16</v>
      </c>
      <c r="I1109" s="18" t="n">
        <v>30</v>
      </c>
      <c r="J1109" s="19" t="n">
        <v>36</v>
      </c>
      <c r="K1109" s="20" t="n">
        <v>41</v>
      </c>
      <c r="L1109" s="21" t="n">
        <v>42</v>
      </c>
      <c r="M1109" s="22" t="n">
        <v>11</v>
      </c>
      <c r="N1109" s="15" t="n">
        <f aca="false">SUMPRODUCT(COUNTIF(G1109:L1109,번호조회!$B$4:$B$9))</f>
        <v>0</v>
      </c>
    </row>
    <row r="1110" customFormat="false" ht="16.5" hidden="false" customHeight="true" outlineLevel="0" collapsed="false">
      <c r="E1110" s="1" t="n">
        <f aca="false">$E$13-($F$13-F1110)*7</f>
        <v>38535</v>
      </c>
      <c r="F1110" s="12" t="n">
        <v>135</v>
      </c>
      <c r="G1110" s="16" t="n">
        <v>6</v>
      </c>
      <c r="H1110" s="17" t="n">
        <v>14</v>
      </c>
      <c r="I1110" s="18" t="n">
        <v>22</v>
      </c>
      <c r="J1110" s="19" t="n">
        <v>28</v>
      </c>
      <c r="K1110" s="20" t="n">
        <v>35</v>
      </c>
      <c r="L1110" s="21" t="n">
        <v>39</v>
      </c>
      <c r="M1110" s="22" t="n">
        <v>16</v>
      </c>
      <c r="N1110" s="15" t="n">
        <f aca="false">SUMPRODUCT(COUNTIF(G1110:L1110,번호조회!$B$4:$B$9))</f>
        <v>0</v>
      </c>
    </row>
    <row r="1111" customFormat="false" ht="16.5" hidden="false" customHeight="true" outlineLevel="0" collapsed="false">
      <c r="E1111" s="1" t="n">
        <f aca="false">$E$13-($F$13-F1111)*7</f>
        <v>38528</v>
      </c>
      <c r="F1111" s="12" t="n">
        <v>134</v>
      </c>
      <c r="G1111" s="16" t="n">
        <v>3</v>
      </c>
      <c r="H1111" s="17" t="n">
        <v>12</v>
      </c>
      <c r="I1111" s="18" t="n">
        <v>20</v>
      </c>
      <c r="J1111" s="19" t="n">
        <v>23</v>
      </c>
      <c r="K1111" s="20" t="n">
        <v>31</v>
      </c>
      <c r="L1111" s="21" t="n">
        <v>35</v>
      </c>
      <c r="M1111" s="22" t="n">
        <v>43</v>
      </c>
      <c r="N1111" s="15" t="n">
        <f aca="false">SUMPRODUCT(COUNTIF(G1111:L1111,번호조회!$B$4:$B$9))</f>
        <v>0</v>
      </c>
    </row>
    <row r="1112" customFormat="false" ht="16.5" hidden="false" customHeight="true" outlineLevel="0" collapsed="false">
      <c r="E1112" s="1" t="n">
        <f aca="false">$E$13-($F$13-F1112)*7</f>
        <v>38521</v>
      </c>
      <c r="F1112" s="12" t="n">
        <v>133</v>
      </c>
      <c r="G1112" s="16" t="n">
        <v>4</v>
      </c>
      <c r="H1112" s="17" t="n">
        <v>7</v>
      </c>
      <c r="I1112" s="18" t="n">
        <v>15</v>
      </c>
      <c r="J1112" s="19" t="n">
        <v>18</v>
      </c>
      <c r="K1112" s="20" t="n">
        <v>23</v>
      </c>
      <c r="L1112" s="21" t="n">
        <v>26</v>
      </c>
      <c r="M1112" s="22" t="n">
        <v>13</v>
      </c>
      <c r="N1112" s="15" t="n">
        <f aca="false">SUMPRODUCT(COUNTIF(G1112:L1112,번호조회!$B$4:$B$9))</f>
        <v>0</v>
      </c>
    </row>
    <row r="1113" customFormat="false" ht="16.5" hidden="false" customHeight="true" outlineLevel="0" collapsed="false">
      <c r="E1113" s="1" t="n">
        <f aca="false">$E$13-($F$13-F1113)*7</f>
        <v>38514</v>
      </c>
      <c r="F1113" s="12" t="n">
        <v>132</v>
      </c>
      <c r="G1113" s="16" t="n">
        <v>3</v>
      </c>
      <c r="H1113" s="17" t="n">
        <v>17</v>
      </c>
      <c r="I1113" s="18" t="n">
        <v>23</v>
      </c>
      <c r="J1113" s="19" t="n">
        <v>34</v>
      </c>
      <c r="K1113" s="20" t="n">
        <v>41</v>
      </c>
      <c r="L1113" s="21" t="n">
        <v>45</v>
      </c>
      <c r="M1113" s="22" t="n">
        <v>43</v>
      </c>
      <c r="N1113" s="15" t="n">
        <f aca="false">SUMPRODUCT(COUNTIF(G1113:L1113,번호조회!$B$4:$B$9))</f>
        <v>0</v>
      </c>
    </row>
    <row r="1114" customFormat="false" ht="16.5" hidden="false" customHeight="true" outlineLevel="0" collapsed="false">
      <c r="E1114" s="1" t="n">
        <f aca="false">$E$13-($F$13-F1114)*7</f>
        <v>38507</v>
      </c>
      <c r="F1114" s="12" t="n">
        <v>131</v>
      </c>
      <c r="G1114" s="16" t="n">
        <v>8</v>
      </c>
      <c r="H1114" s="17" t="n">
        <v>10</v>
      </c>
      <c r="I1114" s="18" t="n">
        <v>11</v>
      </c>
      <c r="J1114" s="19" t="n">
        <v>14</v>
      </c>
      <c r="K1114" s="20" t="n">
        <v>15</v>
      </c>
      <c r="L1114" s="21" t="n">
        <v>21</v>
      </c>
      <c r="M1114" s="22" t="n">
        <v>37</v>
      </c>
      <c r="N1114" s="15" t="n">
        <f aca="false">SUMPRODUCT(COUNTIF(G1114:L1114,번호조회!$B$4:$B$9))</f>
        <v>0</v>
      </c>
    </row>
    <row r="1115" customFormat="false" ht="16.5" hidden="false" customHeight="true" outlineLevel="0" collapsed="false">
      <c r="E1115" s="1" t="n">
        <f aca="false">$E$13-($F$13-F1115)*7</f>
        <v>38500</v>
      </c>
      <c r="F1115" s="12" t="n">
        <v>130</v>
      </c>
      <c r="G1115" s="16" t="n">
        <v>7</v>
      </c>
      <c r="H1115" s="17" t="n">
        <v>19</v>
      </c>
      <c r="I1115" s="18" t="n">
        <v>24</v>
      </c>
      <c r="J1115" s="19" t="n">
        <v>27</v>
      </c>
      <c r="K1115" s="20" t="n">
        <v>42</v>
      </c>
      <c r="L1115" s="21" t="n">
        <v>45</v>
      </c>
      <c r="M1115" s="22" t="n">
        <v>31</v>
      </c>
      <c r="N1115" s="15" t="n">
        <f aca="false">SUMPRODUCT(COUNTIF(G1115:L1115,번호조회!$B$4:$B$9))</f>
        <v>0</v>
      </c>
    </row>
    <row r="1116" customFormat="false" ht="16.5" hidden="false" customHeight="true" outlineLevel="0" collapsed="false">
      <c r="E1116" s="1" t="n">
        <f aca="false">$E$13-($F$13-F1116)*7</f>
        <v>38493</v>
      </c>
      <c r="F1116" s="12" t="n">
        <v>129</v>
      </c>
      <c r="G1116" s="16" t="n">
        <v>19</v>
      </c>
      <c r="H1116" s="17" t="n">
        <v>23</v>
      </c>
      <c r="I1116" s="18" t="n">
        <v>25</v>
      </c>
      <c r="J1116" s="19" t="n">
        <v>28</v>
      </c>
      <c r="K1116" s="20" t="n">
        <v>38</v>
      </c>
      <c r="L1116" s="21" t="n">
        <v>42</v>
      </c>
      <c r="M1116" s="22" t="n">
        <v>17</v>
      </c>
      <c r="N1116" s="15" t="n">
        <f aca="false">SUMPRODUCT(COUNTIF(G1116:L1116,번호조회!$B$4:$B$9))</f>
        <v>0</v>
      </c>
    </row>
    <row r="1117" customFormat="false" ht="16.5" hidden="false" customHeight="true" outlineLevel="0" collapsed="false">
      <c r="E1117" s="1" t="n">
        <f aca="false">$E$13-($F$13-F1117)*7</f>
        <v>38486</v>
      </c>
      <c r="F1117" s="12" t="n">
        <v>128</v>
      </c>
      <c r="G1117" s="16" t="n">
        <v>12</v>
      </c>
      <c r="H1117" s="17" t="n">
        <v>30</v>
      </c>
      <c r="I1117" s="18" t="n">
        <v>34</v>
      </c>
      <c r="J1117" s="19" t="n">
        <v>36</v>
      </c>
      <c r="K1117" s="20" t="n">
        <v>37</v>
      </c>
      <c r="L1117" s="21" t="n">
        <v>45</v>
      </c>
      <c r="M1117" s="22" t="n">
        <v>39</v>
      </c>
      <c r="N1117" s="15" t="n">
        <f aca="false">SUMPRODUCT(COUNTIF(G1117:L1117,번호조회!$B$4:$B$9))</f>
        <v>0</v>
      </c>
    </row>
    <row r="1118" customFormat="false" ht="16.5" hidden="false" customHeight="true" outlineLevel="0" collapsed="false">
      <c r="E1118" s="1" t="n">
        <f aca="false">$E$13-($F$13-F1118)*7</f>
        <v>38479</v>
      </c>
      <c r="F1118" s="12" t="n">
        <v>127</v>
      </c>
      <c r="G1118" s="16" t="n">
        <v>3</v>
      </c>
      <c r="H1118" s="17" t="n">
        <v>5</v>
      </c>
      <c r="I1118" s="18" t="n">
        <v>10</v>
      </c>
      <c r="J1118" s="19" t="n">
        <v>29</v>
      </c>
      <c r="K1118" s="20" t="n">
        <v>32</v>
      </c>
      <c r="L1118" s="21" t="n">
        <v>43</v>
      </c>
      <c r="M1118" s="22" t="n">
        <v>35</v>
      </c>
      <c r="N1118" s="15" t="n">
        <f aca="false">SUMPRODUCT(COUNTIF(G1118:L1118,번호조회!$B$4:$B$9))</f>
        <v>0</v>
      </c>
    </row>
    <row r="1119" customFormat="false" ht="16.5" hidden="false" customHeight="true" outlineLevel="0" collapsed="false">
      <c r="E1119" s="1" t="n">
        <f aca="false">$E$13-($F$13-F1119)*7</f>
        <v>38472</v>
      </c>
      <c r="F1119" s="12" t="n">
        <v>126</v>
      </c>
      <c r="G1119" s="16" t="n">
        <v>7</v>
      </c>
      <c r="H1119" s="17" t="n">
        <v>20</v>
      </c>
      <c r="I1119" s="18" t="n">
        <v>22</v>
      </c>
      <c r="J1119" s="19" t="n">
        <v>27</v>
      </c>
      <c r="K1119" s="20" t="n">
        <v>40</v>
      </c>
      <c r="L1119" s="21" t="n">
        <v>43</v>
      </c>
      <c r="M1119" s="22" t="n">
        <v>1</v>
      </c>
      <c r="N1119" s="15" t="n">
        <f aca="false">SUMPRODUCT(COUNTIF(G1119:L1119,번호조회!$B$4:$B$9))</f>
        <v>0</v>
      </c>
    </row>
    <row r="1120" customFormat="false" ht="16.5" hidden="false" customHeight="true" outlineLevel="0" collapsed="false">
      <c r="E1120" s="1" t="n">
        <f aca="false">$E$13-($F$13-F1120)*7</f>
        <v>38465</v>
      </c>
      <c r="F1120" s="12" t="n">
        <v>125</v>
      </c>
      <c r="G1120" s="16" t="n">
        <v>2</v>
      </c>
      <c r="H1120" s="17" t="n">
        <v>8</v>
      </c>
      <c r="I1120" s="18" t="n">
        <v>32</v>
      </c>
      <c r="J1120" s="19" t="n">
        <v>33</v>
      </c>
      <c r="K1120" s="20" t="n">
        <v>35</v>
      </c>
      <c r="L1120" s="21" t="n">
        <v>36</v>
      </c>
      <c r="M1120" s="22" t="n">
        <v>18</v>
      </c>
      <c r="N1120" s="15" t="n">
        <f aca="false">SUMPRODUCT(COUNTIF(G1120:L1120,번호조회!$B$4:$B$9))</f>
        <v>0</v>
      </c>
    </row>
    <row r="1121" customFormat="false" ht="16.5" hidden="false" customHeight="true" outlineLevel="0" collapsed="false">
      <c r="E1121" s="1" t="n">
        <f aca="false">$E$13-($F$13-F1121)*7</f>
        <v>38458</v>
      </c>
      <c r="F1121" s="12" t="n">
        <v>124</v>
      </c>
      <c r="G1121" s="16" t="n">
        <v>4</v>
      </c>
      <c r="H1121" s="17" t="n">
        <v>16</v>
      </c>
      <c r="I1121" s="18" t="n">
        <v>23</v>
      </c>
      <c r="J1121" s="19" t="n">
        <v>25</v>
      </c>
      <c r="K1121" s="20" t="n">
        <v>29</v>
      </c>
      <c r="L1121" s="21" t="n">
        <v>42</v>
      </c>
      <c r="M1121" s="22" t="n">
        <v>1</v>
      </c>
      <c r="N1121" s="15" t="n">
        <f aca="false">SUMPRODUCT(COUNTIF(G1121:L1121,번호조회!$B$4:$B$9))</f>
        <v>0</v>
      </c>
    </row>
    <row r="1122" customFormat="false" ht="16.5" hidden="false" customHeight="true" outlineLevel="0" collapsed="false">
      <c r="E1122" s="1" t="n">
        <f aca="false">$E$13-($F$13-F1122)*7</f>
        <v>38451</v>
      </c>
      <c r="F1122" s="12" t="n">
        <v>123</v>
      </c>
      <c r="G1122" s="16" t="n">
        <v>7</v>
      </c>
      <c r="H1122" s="17" t="n">
        <v>17</v>
      </c>
      <c r="I1122" s="18" t="n">
        <v>18</v>
      </c>
      <c r="J1122" s="19" t="n">
        <v>28</v>
      </c>
      <c r="K1122" s="20" t="n">
        <v>30</v>
      </c>
      <c r="L1122" s="21" t="n">
        <v>45</v>
      </c>
      <c r="M1122" s="22" t="n">
        <v>27</v>
      </c>
      <c r="N1122" s="15" t="n">
        <f aca="false">SUMPRODUCT(COUNTIF(G1122:L1122,번호조회!$B$4:$B$9))</f>
        <v>0</v>
      </c>
    </row>
    <row r="1123" customFormat="false" ht="16.5" hidden="false" customHeight="true" outlineLevel="0" collapsed="false">
      <c r="E1123" s="1" t="n">
        <f aca="false">$E$13-($F$13-F1123)*7</f>
        <v>38444</v>
      </c>
      <c r="F1123" s="12" t="n">
        <v>122</v>
      </c>
      <c r="G1123" s="16" t="n">
        <v>1</v>
      </c>
      <c r="H1123" s="17" t="n">
        <v>11</v>
      </c>
      <c r="I1123" s="18" t="n">
        <v>16</v>
      </c>
      <c r="J1123" s="19" t="n">
        <v>17</v>
      </c>
      <c r="K1123" s="20" t="n">
        <v>36</v>
      </c>
      <c r="L1123" s="21" t="n">
        <v>40</v>
      </c>
      <c r="M1123" s="22" t="n">
        <v>8</v>
      </c>
      <c r="N1123" s="15" t="n">
        <f aca="false">SUMPRODUCT(COUNTIF(G1123:L1123,번호조회!$B$4:$B$9))</f>
        <v>0</v>
      </c>
    </row>
    <row r="1124" customFormat="false" ht="16.5" hidden="false" customHeight="true" outlineLevel="0" collapsed="false">
      <c r="E1124" s="1" t="n">
        <f aca="false">$E$13-($F$13-F1124)*7</f>
        <v>38437</v>
      </c>
      <c r="F1124" s="12" t="n">
        <v>121</v>
      </c>
      <c r="G1124" s="16" t="n">
        <v>12</v>
      </c>
      <c r="H1124" s="17" t="n">
        <v>28</v>
      </c>
      <c r="I1124" s="18" t="n">
        <v>30</v>
      </c>
      <c r="J1124" s="19" t="n">
        <v>34</v>
      </c>
      <c r="K1124" s="20" t="n">
        <v>38</v>
      </c>
      <c r="L1124" s="21" t="n">
        <v>43</v>
      </c>
      <c r="M1124" s="22" t="n">
        <v>9</v>
      </c>
      <c r="N1124" s="15" t="n">
        <f aca="false">SUMPRODUCT(COUNTIF(G1124:L1124,번호조회!$B$4:$B$9))</f>
        <v>0</v>
      </c>
    </row>
    <row r="1125" customFormat="false" ht="16.5" hidden="false" customHeight="true" outlineLevel="0" collapsed="false">
      <c r="E1125" s="1" t="n">
        <f aca="false">$E$13-($F$13-F1125)*7</f>
        <v>38430</v>
      </c>
      <c r="F1125" s="12" t="n">
        <v>120</v>
      </c>
      <c r="G1125" s="16" t="n">
        <v>4</v>
      </c>
      <c r="H1125" s="17" t="n">
        <v>6</v>
      </c>
      <c r="I1125" s="18" t="n">
        <v>10</v>
      </c>
      <c r="J1125" s="19" t="n">
        <v>11</v>
      </c>
      <c r="K1125" s="20" t="n">
        <v>32</v>
      </c>
      <c r="L1125" s="21" t="n">
        <v>37</v>
      </c>
      <c r="M1125" s="22" t="n">
        <v>30</v>
      </c>
      <c r="N1125" s="15" t="n">
        <f aca="false">SUMPRODUCT(COUNTIF(G1125:L1125,번호조회!$B$4:$B$9))</f>
        <v>0</v>
      </c>
    </row>
    <row r="1126" customFormat="false" ht="16.5" hidden="false" customHeight="true" outlineLevel="0" collapsed="false">
      <c r="E1126" s="1" t="n">
        <f aca="false">$E$13-($F$13-F1126)*7</f>
        <v>38423</v>
      </c>
      <c r="F1126" s="12" t="n">
        <v>119</v>
      </c>
      <c r="G1126" s="16" t="n">
        <v>3</v>
      </c>
      <c r="H1126" s="17" t="n">
        <v>11</v>
      </c>
      <c r="I1126" s="18" t="n">
        <v>13</v>
      </c>
      <c r="J1126" s="19" t="n">
        <v>14</v>
      </c>
      <c r="K1126" s="20" t="n">
        <v>17</v>
      </c>
      <c r="L1126" s="21" t="n">
        <v>21</v>
      </c>
      <c r="M1126" s="22" t="n">
        <v>38</v>
      </c>
      <c r="N1126" s="15" t="n">
        <f aca="false">SUMPRODUCT(COUNTIF(G1126:L1126,번호조회!$B$4:$B$9))</f>
        <v>0</v>
      </c>
    </row>
    <row r="1127" customFormat="false" ht="16.5" hidden="false" customHeight="true" outlineLevel="0" collapsed="false">
      <c r="E1127" s="1" t="n">
        <f aca="false">$E$13-($F$13-F1127)*7</f>
        <v>38416</v>
      </c>
      <c r="F1127" s="12" t="n">
        <v>118</v>
      </c>
      <c r="G1127" s="16" t="n">
        <v>3</v>
      </c>
      <c r="H1127" s="17" t="n">
        <v>4</v>
      </c>
      <c r="I1127" s="18" t="n">
        <v>10</v>
      </c>
      <c r="J1127" s="19" t="n">
        <v>17</v>
      </c>
      <c r="K1127" s="20" t="n">
        <v>19</v>
      </c>
      <c r="L1127" s="21" t="n">
        <v>22</v>
      </c>
      <c r="M1127" s="22" t="n">
        <v>38</v>
      </c>
      <c r="N1127" s="15" t="n">
        <f aca="false">SUMPRODUCT(COUNTIF(G1127:L1127,번호조회!$B$4:$B$9))</f>
        <v>0</v>
      </c>
    </row>
    <row r="1128" customFormat="false" ht="16.5" hidden="false" customHeight="true" outlineLevel="0" collapsed="false">
      <c r="E1128" s="1" t="n">
        <f aca="false">$E$13-($F$13-F1128)*7</f>
        <v>38409</v>
      </c>
      <c r="F1128" s="12" t="n">
        <v>117</v>
      </c>
      <c r="G1128" s="16" t="n">
        <v>5</v>
      </c>
      <c r="H1128" s="17" t="n">
        <v>10</v>
      </c>
      <c r="I1128" s="18" t="n">
        <v>22</v>
      </c>
      <c r="J1128" s="19" t="n">
        <v>34</v>
      </c>
      <c r="K1128" s="20" t="n">
        <v>36</v>
      </c>
      <c r="L1128" s="21" t="n">
        <v>44</v>
      </c>
      <c r="M1128" s="22" t="n">
        <v>35</v>
      </c>
      <c r="N1128" s="15" t="n">
        <f aca="false">SUMPRODUCT(COUNTIF(G1128:L1128,번호조회!$B$4:$B$9))</f>
        <v>0</v>
      </c>
    </row>
    <row r="1129" customFormat="false" ht="16.5" hidden="false" customHeight="true" outlineLevel="0" collapsed="false">
      <c r="E1129" s="1" t="n">
        <f aca="false">$E$13-($F$13-F1129)*7</f>
        <v>38402</v>
      </c>
      <c r="F1129" s="12" t="n">
        <v>116</v>
      </c>
      <c r="G1129" s="16" t="n">
        <v>2</v>
      </c>
      <c r="H1129" s="17" t="n">
        <v>4</v>
      </c>
      <c r="I1129" s="18" t="n">
        <v>25</v>
      </c>
      <c r="J1129" s="19" t="n">
        <v>31</v>
      </c>
      <c r="K1129" s="20" t="n">
        <v>34</v>
      </c>
      <c r="L1129" s="21" t="n">
        <v>37</v>
      </c>
      <c r="M1129" s="22" t="n">
        <v>17</v>
      </c>
      <c r="N1129" s="15" t="n">
        <f aca="false">SUMPRODUCT(COUNTIF(G1129:L1129,번호조회!$B$4:$B$9))</f>
        <v>0</v>
      </c>
    </row>
    <row r="1130" customFormat="false" ht="16.5" hidden="false" customHeight="true" outlineLevel="0" collapsed="false">
      <c r="E1130" s="1" t="n">
        <f aca="false">$E$13-($F$13-F1130)*7</f>
        <v>38395</v>
      </c>
      <c r="F1130" s="12" t="n">
        <v>115</v>
      </c>
      <c r="G1130" s="16" t="n">
        <v>1</v>
      </c>
      <c r="H1130" s="17" t="n">
        <v>2</v>
      </c>
      <c r="I1130" s="18" t="n">
        <v>6</v>
      </c>
      <c r="J1130" s="19" t="n">
        <v>9</v>
      </c>
      <c r="K1130" s="20" t="n">
        <v>25</v>
      </c>
      <c r="L1130" s="21" t="n">
        <v>28</v>
      </c>
      <c r="M1130" s="22" t="n">
        <v>31</v>
      </c>
      <c r="N1130" s="15" t="n">
        <f aca="false">SUMPRODUCT(COUNTIF(G1130:L1130,번호조회!$B$4:$B$9))</f>
        <v>0</v>
      </c>
    </row>
    <row r="1131" customFormat="false" ht="16.5" hidden="false" customHeight="true" outlineLevel="0" collapsed="false">
      <c r="E1131" s="1" t="n">
        <f aca="false">$E$13-($F$13-F1131)*7</f>
        <v>38388</v>
      </c>
      <c r="F1131" s="12" t="n">
        <v>114</v>
      </c>
      <c r="G1131" s="16" t="n">
        <v>11</v>
      </c>
      <c r="H1131" s="17" t="n">
        <v>14</v>
      </c>
      <c r="I1131" s="18" t="n">
        <v>19</v>
      </c>
      <c r="J1131" s="19" t="n">
        <v>26</v>
      </c>
      <c r="K1131" s="20" t="n">
        <v>28</v>
      </c>
      <c r="L1131" s="21" t="n">
        <v>41</v>
      </c>
      <c r="M1131" s="22" t="n">
        <v>2</v>
      </c>
      <c r="N1131" s="15" t="n">
        <f aca="false">SUMPRODUCT(COUNTIF(G1131:L1131,번호조회!$B$4:$B$9))</f>
        <v>0</v>
      </c>
    </row>
    <row r="1132" customFormat="false" ht="16.5" hidden="false" customHeight="true" outlineLevel="0" collapsed="false">
      <c r="E1132" s="1" t="n">
        <f aca="false">$E$13-($F$13-F1132)*7</f>
        <v>38381</v>
      </c>
      <c r="F1132" s="12" t="n">
        <v>113</v>
      </c>
      <c r="G1132" s="16" t="n">
        <v>4</v>
      </c>
      <c r="H1132" s="17" t="n">
        <v>9</v>
      </c>
      <c r="I1132" s="18" t="n">
        <v>28</v>
      </c>
      <c r="J1132" s="19" t="n">
        <v>33</v>
      </c>
      <c r="K1132" s="20" t="n">
        <v>36</v>
      </c>
      <c r="L1132" s="21" t="n">
        <v>45</v>
      </c>
      <c r="M1132" s="22" t="n">
        <v>26</v>
      </c>
      <c r="N1132" s="15" t="n">
        <f aca="false">SUMPRODUCT(COUNTIF(G1132:L1132,번호조회!$B$4:$B$9))</f>
        <v>0</v>
      </c>
    </row>
    <row r="1133" customFormat="false" ht="16.5" hidden="false" customHeight="true" outlineLevel="0" collapsed="false">
      <c r="E1133" s="1" t="n">
        <f aca="false">$E$13-($F$13-F1133)*7</f>
        <v>38374</v>
      </c>
      <c r="F1133" s="12" t="n">
        <v>112</v>
      </c>
      <c r="G1133" s="16" t="n">
        <v>26</v>
      </c>
      <c r="H1133" s="17" t="n">
        <v>29</v>
      </c>
      <c r="I1133" s="18" t="n">
        <v>30</v>
      </c>
      <c r="J1133" s="19" t="n">
        <v>33</v>
      </c>
      <c r="K1133" s="20" t="n">
        <v>41</v>
      </c>
      <c r="L1133" s="21" t="n">
        <v>42</v>
      </c>
      <c r="M1133" s="22" t="n">
        <v>43</v>
      </c>
      <c r="N1133" s="15" t="n">
        <f aca="false">SUMPRODUCT(COUNTIF(G1133:L1133,번호조회!$B$4:$B$9))</f>
        <v>0</v>
      </c>
    </row>
    <row r="1134" customFormat="false" ht="16.5" hidden="false" customHeight="true" outlineLevel="0" collapsed="false">
      <c r="E1134" s="1" t="n">
        <f aca="false">$E$13-($F$13-F1134)*7</f>
        <v>38367</v>
      </c>
      <c r="F1134" s="12" t="n">
        <v>111</v>
      </c>
      <c r="G1134" s="16" t="n">
        <v>7</v>
      </c>
      <c r="H1134" s="17" t="n">
        <v>18</v>
      </c>
      <c r="I1134" s="18" t="n">
        <v>31</v>
      </c>
      <c r="J1134" s="19" t="n">
        <v>33</v>
      </c>
      <c r="K1134" s="20" t="n">
        <v>36</v>
      </c>
      <c r="L1134" s="21" t="n">
        <v>40</v>
      </c>
      <c r="M1134" s="22" t="n">
        <v>27</v>
      </c>
      <c r="N1134" s="15" t="n">
        <f aca="false">SUMPRODUCT(COUNTIF(G1134:L1134,번호조회!$B$4:$B$9))</f>
        <v>0</v>
      </c>
    </row>
    <row r="1135" customFormat="false" ht="16.5" hidden="false" customHeight="true" outlineLevel="0" collapsed="false">
      <c r="E1135" s="1" t="n">
        <f aca="false">$E$13-($F$13-F1135)*7</f>
        <v>38360</v>
      </c>
      <c r="F1135" s="12" t="n">
        <v>110</v>
      </c>
      <c r="G1135" s="16" t="n">
        <v>7</v>
      </c>
      <c r="H1135" s="17" t="n">
        <v>20</v>
      </c>
      <c r="I1135" s="18" t="n">
        <v>22</v>
      </c>
      <c r="J1135" s="19" t="n">
        <v>23</v>
      </c>
      <c r="K1135" s="20" t="n">
        <v>29</v>
      </c>
      <c r="L1135" s="21" t="n">
        <v>43</v>
      </c>
      <c r="M1135" s="22" t="n">
        <v>1</v>
      </c>
      <c r="N1135" s="15" t="n">
        <f aca="false">SUMPRODUCT(COUNTIF(G1135:L1135,번호조회!$B$4:$B$9))</f>
        <v>0</v>
      </c>
    </row>
    <row r="1136" customFormat="false" ht="16.5" hidden="false" customHeight="true" outlineLevel="0" collapsed="false">
      <c r="E1136" s="1" t="n">
        <f aca="false">$E$13-($F$13-F1136)*7</f>
        <v>38353</v>
      </c>
      <c r="F1136" s="12" t="n">
        <v>109</v>
      </c>
      <c r="G1136" s="16" t="n">
        <v>1</v>
      </c>
      <c r="H1136" s="17" t="n">
        <v>5</v>
      </c>
      <c r="I1136" s="18" t="n">
        <v>34</v>
      </c>
      <c r="J1136" s="19" t="n">
        <v>36</v>
      </c>
      <c r="K1136" s="20" t="n">
        <v>42</v>
      </c>
      <c r="L1136" s="21" t="n">
        <v>44</v>
      </c>
      <c r="M1136" s="22" t="n">
        <v>33</v>
      </c>
      <c r="N1136" s="15" t="n">
        <f aca="false">SUMPRODUCT(COUNTIF(G1136:L1136,번호조회!$B$4:$B$9))</f>
        <v>0</v>
      </c>
    </row>
    <row r="1137" customFormat="false" ht="16.5" hidden="false" customHeight="true" outlineLevel="0" collapsed="false">
      <c r="E1137" s="1" t="n">
        <f aca="false">$E$13-($F$13-F1137)*7</f>
        <v>38346</v>
      </c>
      <c r="F1137" s="12" t="n">
        <v>108</v>
      </c>
      <c r="G1137" s="16" t="n">
        <v>7</v>
      </c>
      <c r="H1137" s="17" t="n">
        <v>18</v>
      </c>
      <c r="I1137" s="18" t="n">
        <v>22</v>
      </c>
      <c r="J1137" s="19" t="n">
        <v>23</v>
      </c>
      <c r="K1137" s="20" t="n">
        <v>29</v>
      </c>
      <c r="L1137" s="21" t="n">
        <v>44</v>
      </c>
      <c r="M1137" s="22" t="n">
        <v>12</v>
      </c>
      <c r="N1137" s="15" t="n">
        <f aca="false">SUMPRODUCT(COUNTIF(G1137:L1137,번호조회!$B$4:$B$9))</f>
        <v>0</v>
      </c>
    </row>
    <row r="1138" customFormat="false" ht="16.5" hidden="false" customHeight="true" outlineLevel="0" collapsed="false">
      <c r="E1138" s="1" t="n">
        <f aca="false">$E$13-($F$13-F1138)*7</f>
        <v>38339</v>
      </c>
      <c r="F1138" s="12" t="n">
        <v>107</v>
      </c>
      <c r="G1138" s="16" t="n">
        <v>1</v>
      </c>
      <c r="H1138" s="17" t="n">
        <v>4</v>
      </c>
      <c r="I1138" s="18" t="n">
        <v>5</v>
      </c>
      <c r="J1138" s="19" t="n">
        <v>6</v>
      </c>
      <c r="K1138" s="20" t="n">
        <v>9</v>
      </c>
      <c r="L1138" s="21" t="n">
        <v>31</v>
      </c>
      <c r="M1138" s="22" t="n">
        <v>17</v>
      </c>
      <c r="N1138" s="15" t="n">
        <f aca="false">SUMPRODUCT(COUNTIF(G1138:L1138,번호조회!$B$4:$B$9))</f>
        <v>0</v>
      </c>
    </row>
    <row r="1139" customFormat="false" ht="16.5" hidden="false" customHeight="true" outlineLevel="0" collapsed="false">
      <c r="E1139" s="1" t="n">
        <f aca="false">$E$13-($F$13-F1139)*7</f>
        <v>38332</v>
      </c>
      <c r="F1139" s="12" t="n">
        <v>106</v>
      </c>
      <c r="G1139" s="16" t="n">
        <v>4</v>
      </c>
      <c r="H1139" s="17" t="n">
        <v>10</v>
      </c>
      <c r="I1139" s="18" t="n">
        <v>12</v>
      </c>
      <c r="J1139" s="19" t="n">
        <v>22</v>
      </c>
      <c r="K1139" s="20" t="n">
        <v>24</v>
      </c>
      <c r="L1139" s="21" t="n">
        <v>33</v>
      </c>
      <c r="M1139" s="22" t="n">
        <v>29</v>
      </c>
      <c r="N1139" s="15" t="n">
        <f aca="false">SUMPRODUCT(COUNTIF(G1139:L1139,번호조회!$B$4:$B$9))</f>
        <v>0</v>
      </c>
    </row>
    <row r="1140" customFormat="false" ht="16.5" hidden="false" customHeight="true" outlineLevel="0" collapsed="false">
      <c r="E1140" s="1" t="n">
        <f aca="false">$E$13-($F$13-F1140)*7</f>
        <v>38325</v>
      </c>
      <c r="F1140" s="12" t="n">
        <v>105</v>
      </c>
      <c r="G1140" s="16" t="n">
        <v>8</v>
      </c>
      <c r="H1140" s="17" t="n">
        <v>10</v>
      </c>
      <c r="I1140" s="18" t="n">
        <v>20</v>
      </c>
      <c r="J1140" s="19" t="n">
        <v>34</v>
      </c>
      <c r="K1140" s="20" t="n">
        <v>41</v>
      </c>
      <c r="L1140" s="21" t="n">
        <v>45</v>
      </c>
      <c r="M1140" s="22" t="n">
        <v>28</v>
      </c>
      <c r="N1140" s="15" t="n">
        <f aca="false">SUMPRODUCT(COUNTIF(G1140:L1140,번호조회!$B$4:$B$9))</f>
        <v>0</v>
      </c>
    </row>
    <row r="1141" customFormat="false" ht="16.5" hidden="false" customHeight="true" outlineLevel="0" collapsed="false">
      <c r="E1141" s="1" t="n">
        <f aca="false">$E$13-($F$13-F1141)*7</f>
        <v>38318</v>
      </c>
      <c r="F1141" s="12" t="n">
        <v>104</v>
      </c>
      <c r="G1141" s="16" t="n">
        <v>17</v>
      </c>
      <c r="H1141" s="17" t="n">
        <v>32</v>
      </c>
      <c r="I1141" s="18" t="n">
        <v>33</v>
      </c>
      <c r="J1141" s="19" t="n">
        <v>34</v>
      </c>
      <c r="K1141" s="20" t="n">
        <v>42</v>
      </c>
      <c r="L1141" s="21" t="n">
        <v>44</v>
      </c>
      <c r="M1141" s="22" t="n">
        <v>35</v>
      </c>
      <c r="N1141" s="15" t="n">
        <f aca="false">SUMPRODUCT(COUNTIF(G1141:L1141,번호조회!$B$4:$B$9))</f>
        <v>0</v>
      </c>
    </row>
    <row r="1142" customFormat="false" ht="16.5" hidden="false" customHeight="true" outlineLevel="0" collapsed="false">
      <c r="E1142" s="1" t="n">
        <f aca="false">$E$13-($F$13-F1142)*7</f>
        <v>38311</v>
      </c>
      <c r="F1142" s="12" t="n">
        <v>103</v>
      </c>
      <c r="G1142" s="16" t="n">
        <v>5</v>
      </c>
      <c r="H1142" s="17" t="n">
        <v>14</v>
      </c>
      <c r="I1142" s="18" t="n">
        <v>15</v>
      </c>
      <c r="J1142" s="19" t="n">
        <v>27</v>
      </c>
      <c r="K1142" s="20" t="n">
        <v>30</v>
      </c>
      <c r="L1142" s="21" t="n">
        <v>45</v>
      </c>
      <c r="M1142" s="22" t="n">
        <v>10</v>
      </c>
      <c r="N1142" s="15" t="n">
        <f aca="false">SUMPRODUCT(COUNTIF(G1142:L1142,번호조회!$B$4:$B$9))</f>
        <v>0</v>
      </c>
    </row>
    <row r="1143" customFormat="false" ht="16.5" hidden="false" customHeight="true" outlineLevel="0" collapsed="false">
      <c r="E1143" s="1" t="n">
        <f aca="false">$E$13-($F$13-F1143)*7</f>
        <v>38304</v>
      </c>
      <c r="F1143" s="12" t="n">
        <v>102</v>
      </c>
      <c r="G1143" s="16" t="n">
        <v>17</v>
      </c>
      <c r="H1143" s="17" t="n">
        <v>22</v>
      </c>
      <c r="I1143" s="18" t="n">
        <v>24</v>
      </c>
      <c r="J1143" s="19" t="n">
        <v>26</v>
      </c>
      <c r="K1143" s="20" t="n">
        <v>35</v>
      </c>
      <c r="L1143" s="21" t="n">
        <v>40</v>
      </c>
      <c r="M1143" s="22" t="n">
        <v>42</v>
      </c>
      <c r="N1143" s="15" t="n">
        <f aca="false">SUMPRODUCT(COUNTIF(G1143:L1143,번호조회!$B$4:$B$9))</f>
        <v>0</v>
      </c>
    </row>
    <row r="1144" customFormat="false" ht="16.5" hidden="false" customHeight="true" outlineLevel="0" collapsed="false">
      <c r="E1144" s="1" t="n">
        <f aca="false">$E$13-($F$13-F1144)*7</f>
        <v>38297</v>
      </c>
      <c r="F1144" s="12" t="n">
        <v>101</v>
      </c>
      <c r="G1144" s="16" t="n">
        <v>1</v>
      </c>
      <c r="H1144" s="17" t="n">
        <v>3</v>
      </c>
      <c r="I1144" s="18" t="n">
        <v>17</v>
      </c>
      <c r="J1144" s="19" t="n">
        <v>32</v>
      </c>
      <c r="K1144" s="20" t="n">
        <v>35</v>
      </c>
      <c r="L1144" s="21" t="n">
        <v>45</v>
      </c>
      <c r="M1144" s="22" t="n">
        <v>8</v>
      </c>
      <c r="N1144" s="15" t="n">
        <f aca="false">SUMPRODUCT(COUNTIF(G1144:L1144,번호조회!$B$4:$B$9))</f>
        <v>0</v>
      </c>
    </row>
    <row r="1145" customFormat="false" ht="16.5" hidden="false" customHeight="true" outlineLevel="0" collapsed="false">
      <c r="E1145" s="1" t="n">
        <f aca="false">$E$13-($F$13-F1145)*7</f>
        <v>38290</v>
      </c>
      <c r="F1145" s="12" t="n">
        <v>100</v>
      </c>
      <c r="G1145" s="16" t="n">
        <v>1</v>
      </c>
      <c r="H1145" s="17" t="n">
        <v>7</v>
      </c>
      <c r="I1145" s="18" t="n">
        <v>11</v>
      </c>
      <c r="J1145" s="19" t="n">
        <v>23</v>
      </c>
      <c r="K1145" s="20" t="n">
        <v>37</v>
      </c>
      <c r="L1145" s="21" t="n">
        <v>42</v>
      </c>
      <c r="M1145" s="22" t="n">
        <v>6</v>
      </c>
      <c r="N1145" s="15" t="n">
        <f aca="false">SUMPRODUCT(COUNTIF(G1145:L1145,번호조회!$B$4:$B$9))</f>
        <v>0</v>
      </c>
    </row>
    <row r="1146" customFormat="false" ht="16.5" hidden="false" customHeight="true" outlineLevel="0" collapsed="false">
      <c r="E1146" s="1" t="n">
        <f aca="false">$E$13-($F$13-F1146)*7</f>
        <v>38283</v>
      </c>
      <c r="F1146" s="12" t="n">
        <v>99</v>
      </c>
      <c r="G1146" s="16" t="n">
        <v>1</v>
      </c>
      <c r="H1146" s="17" t="n">
        <v>3</v>
      </c>
      <c r="I1146" s="18" t="n">
        <v>10</v>
      </c>
      <c r="J1146" s="19" t="n">
        <v>27</v>
      </c>
      <c r="K1146" s="20" t="n">
        <v>29</v>
      </c>
      <c r="L1146" s="21" t="n">
        <v>37</v>
      </c>
      <c r="M1146" s="22" t="n">
        <v>11</v>
      </c>
      <c r="N1146" s="15" t="n">
        <f aca="false">SUMPRODUCT(COUNTIF(G1146:L1146,번호조회!$B$4:$B$9))</f>
        <v>0</v>
      </c>
    </row>
    <row r="1147" customFormat="false" ht="16.5" hidden="false" customHeight="true" outlineLevel="0" collapsed="false">
      <c r="E1147" s="1" t="n">
        <f aca="false">$E$13-($F$13-F1147)*7</f>
        <v>38276</v>
      </c>
      <c r="F1147" s="12" t="n">
        <v>98</v>
      </c>
      <c r="G1147" s="16" t="n">
        <v>6</v>
      </c>
      <c r="H1147" s="17" t="n">
        <v>9</v>
      </c>
      <c r="I1147" s="18" t="n">
        <v>16</v>
      </c>
      <c r="J1147" s="19" t="n">
        <v>23</v>
      </c>
      <c r="K1147" s="20" t="n">
        <v>24</v>
      </c>
      <c r="L1147" s="21" t="n">
        <v>32</v>
      </c>
      <c r="M1147" s="22" t="n">
        <v>43</v>
      </c>
      <c r="N1147" s="15" t="n">
        <f aca="false">SUMPRODUCT(COUNTIF(G1147:L1147,번호조회!$B$4:$B$9))</f>
        <v>0</v>
      </c>
    </row>
    <row r="1148" customFormat="false" ht="16.5" hidden="false" customHeight="true" outlineLevel="0" collapsed="false">
      <c r="E1148" s="1" t="n">
        <f aca="false">$E$13-($F$13-F1148)*7</f>
        <v>38269</v>
      </c>
      <c r="F1148" s="12" t="n">
        <v>97</v>
      </c>
      <c r="G1148" s="16" t="n">
        <v>6</v>
      </c>
      <c r="H1148" s="17" t="n">
        <v>7</v>
      </c>
      <c r="I1148" s="18" t="n">
        <v>14</v>
      </c>
      <c r="J1148" s="19" t="n">
        <v>15</v>
      </c>
      <c r="K1148" s="20" t="n">
        <v>20</v>
      </c>
      <c r="L1148" s="21" t="n">
        <v>36</v>
      </c>
      <c r="M1148" s="22" t="n">
        <v>3</v>
      </c>
      <c r="N1148" s="15" t="n">
        <f aca="false">SUMPRODUCT(COUNTIF(G1148:L1148,번호조회!$B$4:$B$9))</f>
        <v>0</v>
      </c>
    </row>
    <row r="1149" customFormat="false" ht="16.5" hidden="false" customHeight="true" outlineLevel="0" collapsed="false">
      <c r="E1149" s="1" t="n">
        <f aca="false">$E$13-($F$13-F1149)*7</f>
        <v>38262</v>
      </c>
      <c r="F1149" s="12" t="n">
        <v>96</v>
      </c>
      <c r="G1149" s="16" t="n">
        <v>1</v>
      </c>
      <c r="H1149" s="17" t="n">
        <v>3</v>
      </c>
      <c r="I1149" s="18" t="n">
        <v>8</v>
      </c>
      <c r="J1149" s="19" t="n">
        <v>21</v>
      </c>
      <c r="K1149" s="20" t="n">
        <v>22</v>
      </c>
      <c r="L1149" s="21" t="n">
        <v>31</v>
      </c>
      <c r="M1149" s="22" t="n">
        <v>20</v>
      </c>
      <c r="N1149" s="15" t="n">
        <f aca="false">SUMPRODUCT(COUNTIF(G1149:L1149,번호조회!$B$4:$B$9))</f>
        <v>0</v>
      </c>
    </row>
    <row r="1150" customFormat="false" ht="16.5" hidden="false" customHeight="true" outlineLevel="0" collapsed="false">
      <c r="E1150" s="1" t="n">
        <f aca="false">$E$13-($F$13-F1150)*7</f>
        <v>38255</v>
      </c>
      <c r="F1150" s="12" t="n">
        <v>95</v>
      </c>
      <c r="G1150" s="16" t="n">
        <v>8</v>
      </c>
      <c r="H1150" s="17" t="n">
        <v>17</v>
      </c>
      <c r="I1150" s="18" t="n">
        <v>27</v>
      </c>
      <c r="J1150" s="19" t="n">
        <v>31</v>
      </c>
      <c r="K1150" s="20" t="n">
        <v>34</v>
      </c>
      <c r="L1150" s="21" t="n">
        <v>43</v>
      </c>
      <c r="M1150" s="22" t="n">
        <v>14</v>
      </c>
      <c r="N1150" s="15" t="n">
        <f aca="false">SUMPRODUCT(COUNTIF(G1150:L1150,번호조회!$B$4:$B$9))</f>
        <v>0</v>
      </c>
    </row>
    <row r="1151" customFormat="false" ht="16.5" hidden="false" customHeight="true" outlineLevel="0" collapsed="false">
      <c r="E1151" s="1" t="n">
        <f aca="false">$E$13-($F$13-F1151)*7</f>
        <v>38248</v>
      </c>
      <c r="F1151" s="12" t="n">
        <v>94</v>
      </c>
      <c r="G1151" s="16" t="n">
        <v>5</v>
      </c>
      <c r="H1151" s="17" t="n">
        <v>32</v>
      </c>
      <c r="I1151" s="18" t="n">
        <v>34</v>
      </c>
      <c r="J1151" s="19" t="n">
        <v>40</v>
      </c>
      <c r="K1151" s="20" t="n">
        <v>41</v>
      </c>
      <c r="L1151" s="21" t="n">
        <v>45</v>
      </c>
      <c r="M1151" s="22" t="n">
        <v>6</v>
      </c>
      <c r="N1151" s="15" t="n">
        <f aca="false">SUMPRODUCT(COUNTIF(G1151:L1151,번호조회!$B$4:$B$9))</f>
        <v>0</v>
      </c>
    </row>
    <row r="1152" customFormat="false" ht="16.5" hidden="false" customHeight="true" outlineLevel="0" collapsed="false">
      <c r="E1152" s="1" t="n">
        <f aca="false">$E$13-($F$13-F1152)*7</f>
        <v>38241</v>
      </c>
      <c r="F1152" s="12" t="n">
        <v>93</v>
      </c>
      <c r="G1152" s="16" t="n">
        <v>6</v>
      </c>
      <c r="H1152" s="17" t="n">
        <v>22</v>
      </c>
      <c r="I1152" s="18" t="n">
        <v>24</v>
      </c>
      <c r="J1152" s="19" t="n">
        <v>36</v>
      </c>
      <c r="K1152" s="20" t="n">
        <v>38</v>
      </c>
      <c r="L1152" s="21" t="n">
        <v>44</v>
      </c>
      <c r="M1152" s="22" t="n">
        <v>19</v>
      </c>
      <c r="N1152" s="15" t="n">
        <f aca="false">SUMPRODUCT(COUNTIF(G1152:L1152,번호조회!$B$4:$B$9))</f>
        <v>0</v>
      </c>
    </row>
    <row r="1153" customFormat="false" ht="16.5" hidden="false" customHeight="true" outlineLevel="0" collapsed="false">
      <c r="E1153" s="1" t="n">
        <f aca="false">$E$13-($F$13-F1153)*7</f>
        <v>38234</v>
      </c>
      <c r="F1153" s="12" t="n">
        <v>92</v>
      </c>
      <c r="G1153" s="16" t="n">
        <v>3</v>
      </c>
      <c r="H1153" s="17" t="n">
        <v>14</v>
      </c>
      <c r="I1153" s="18" t="n">
        <v>24</v>
      </c>
      <c r="J1153" s="19" t="n">
        <v>33</v>
      </c>
      <c r="K1153" s="20" t="n">
        <v>35</v>
      </c>
      <c r="L1153" s="21" t="n">
        <v>36</v>
      </c>
      <c r="M1153" s="22" t="n">
        <v>17</v>
      </c>
      <c r="N1153" s="15" t="n">
        <f aca="false">SUMPRODUCT(COUNTIF(G1153:L1153,번호조회!$B$4:$B$9))</f>
        <v>0</v>
      </c>
    </row>
    <row r="1154" customFormat="false" ht="16.5" hidden="false" customHeight="true" outlineLevel="0" collapsed="false">
      <c r="E1154" s="1" t="n">
        <f aca="false">$E$13-($F$13-F1154)*7</f>
        <v>38227</v>
      </c>
      <c r="F1154" s="12" t="n">
        <v>91</v>
      </c>
      <c r="G1154" s="16" t="n">
        <v>1</v>
      </c>
      <c r="H1154" s="17" t="n">
        <v>21</v>
      </c>
      <c r="I1154" s="18" t="n">
        <v>24</v>
      </c>
      <c r="J1154" s="19" t="n">
        <v>26</v>
      </c>
      <c r="K1154" s="20" t="n">
        <v>29</v>
      </c>
      <c r="L1154" s="21" t="n">
        <v>42</v>
      </c>
      <c r="M1154" s="22" t="n">
        <v>27</v>
      </c>
      <c r="N1154" s="15" t="n">
        <f aca="false">SUMPRODUCT(COUNTIF(G1154:L1154,번호조회!$B$4:$B$9))</f>
        <v>0</v>
      </c>
    </row>
    <row r="1155" customFormat="false" ht="16.5" hidden="false" customHeight="true" outlineLevel="0" collapsed="false">
      <c r="E1155" s="1" t="n">
        <f aca="false">$E$13-($F$13-F1155)*7</f>
        <v>38220</v>
      </c>
      <c r="F1155" s="12" t="n">
        <v>90</v>
      </c>
      <c r="G1155" s="16" t="n">
        <v>17</v>
      </c>
      <c r="H1155" s="17" t="n">
        <v>20</v>
      </c>
      <c r="I1155" s="18" t="n">
        <v>29</v>
      </c>
      <c r="J1155" s="19" t="n">
        <v>35</v>
      </c>
      <c r="K1155" s="20" t="n">
        <v>38</v>
      </c>
      <c r="L1155" s="21" t="n">
        <v>44</v>
      </c>
      <c r="M1155" s="22" t="n">
        <v>10</v>
      </c>
      <c r="N1155" s="15" t="n">
        <f aca="false">SUMPRODUCT(COUNTIF(G1155:L1155,번호조회!$B$4:$B$9))</f>
        <v>0</v>
      </c>
    </row>
    <row r="1156" customFormat="false" ht="16.5" hidden="false" customHeight="true" outlineLevel="0" collapsed="false">
      <c r="E1156" s="1" t="n">
        <f aca="false">$E$13-($F$13-F1156)*7</f>
        <v>38213</v>
      </c>
      <c r="F1156" s="12" t="n">
        <v>89</v>
      </c>
      <c r="G1156" s="16" t="n">
        <v>4</v>
      </c>
      <c r="H1156" s="17" t="n">
        <v>26</v>
      </c>
      <c r="I1156" s="18" t="n">
        <v>28</v>
      </c>
      <c r="J1156" s="19" t="n">
        <v>29</v>
      </c>
      <c r="K1156" s="20" t="n">
        <v>33</v>
      </c>
      <c r="L1156" s="21" t="n">
        <v>40</v>
      </c>
      <c r="M1156" s="22" t="n">
        <v>37</v>
      </c>
      <c r="N1156" s="15" t="n">
        <f aca="false">SUMPRODUCT(COUNTIF(G1156:L1156,번호조회!$B$4:$B$9))</f>
        <v>0</v>
      </c>
    </row>
    <row r="1157" customFormat="false" ht="16.5" hidden="false" customHeight="true" outlineLevel="0" collapsed="false">
      <c r="E1157" s="1" t="n">
        <f aca="false">$E$13-($F$13-F1157)*7</f>
        <v>38206</v>
      </c>
      <c r="F1157" s="12" t="n">
        <v>88</v>
      </c>
      <c r="G1157" s="16" t="n">
        <v>1</v>
      </c>
      <c r="H1157" s="17" t="n">
        <v>17</v>
      </c>
      <c r="I1157" s="18" t="n">
        <v>20</v>
      </c>
      <c r="J1157" s="19" t="n">
        <v>24</v>
      </c>
      <c r="K1157" s="20" t="n">
        <v>30</v>
      </c>
      <c r="L1157" s="21" t="n">
        <v>41</v>
      </c>
      <c r="M1157" s="22" t="n">
        <v>27</v>
      </c>
      <c r="N1157" s="15" t="n">
        <f aca="false">SUMPRODUCT(COUNTIF(G1157:L1157,번호조회!$B$4:$B$9))</f>
        <v>0</v>
      </c>
    </row>
    <row r="1158" customFormat="false" ht="16.5" hidden="false" customHeight="true" outlineLevel="0" collapsed="false">
      <c r="E1158" s="1" t="n">
        <f aca="false">$E$13-($F$13-F1158)*7</f>
        <v>38199</v>
      </c>
      <c r="F1158" s="12" t="n">
        <v>87</v>
      </c>
      <c r="G1158" s="16" t="n">
        <v>4</v>
      </c>
      <c r="H1158" s="17" t="n">
        <v>12</v>
      </c>
      <c r="I1158" s="18" t="n">
        <v>16</v>
      </c>
      <c r="J1158" s="19" t="n">
        <v>23</v>
      </c>
      <c r="K1158" s="20" t="n">
        <v>34</v>
      </c>
      <c r="L1158" s="21" t="n">
        <v>43</v>
      </c>
      <c r="M1158" s="22" t="n">
        <v>26</v>
      </c>
      <c r="N1158" s="15" t="n">
        <f aca="false">SUMPRODUCT(COUNTIF(G1158:L1158,번호조회!$B$4:$B$9))</f>
        <v>0</v>
      </c>
    </row>
    <row r="1159" customFormat="false" ht="16.5" hidden="false" customHeight="true" outlineLevel="0" collapsed="false">
      <c r="E1159" s="1" t="n">
        <f aca="false">$E$13-($F$13-F1159)*7</f>
        <v>38192</v>
      </c>
      <c r="F1159" s="12" t="n">
        <v>86</v>
      </c>
      <c r="G1159" s="16" t="n">
        <v>2</v>
      </c>
      <c r="H1159" s="17" t="n">
        <v>12</v>
      </c>
      <c r="I1159" s="18" t="n">
        <v>37</v>
      </c>
      <c r="J1159" s="19" t="n">
        <v>39</v>
      </c>
      <c r="K1159" s="20" t="n">
        <v>41</v>
      </c>
      <c r="L1159" s="21" t="n">
        <v>45</v>
      </c>
      <c r="M1159" s="22" t="n">
        <v>33</v>
      </c>
      <c r="N1159" s="15" t="n">
        <f aca="false">SUMPRODUCT(COUNTIF(G1159:L1159,번호조회!$B$4:$B$9))</f>
        <v>0</v>
      </c>
    </row>
    <row r="1160" customFormat="false" ht="16.5" hidden="false" customHeight="true" outlineLevel="0" collapsed="false">
      <c r="E1160" s="1" t="n">
        <f aca="false">$E$13-($F$13-F1160)*7</f>
        <v>38185</v>
      </c>
      <c r="F1160" s="12" t="n">
        <v>85</v>
      </c>
      <c r="G1160" s="16" t="n">
        <v>6</v>
      </c>
      <c r="H1160" s="17" t="n">
        <v>8</v>
      </c>
      <c r="I1160" s="18" t="n">
        <v>13</v>
      </c>
      <c r="J1160" s="19" t="n">
        <v>23</v>
      </c>
      <c r="K1160" s="20" t="n">
        <v>31</v>
      </c>
      <c r="L1160" s="21" t="n">
        <v>36</v>
      </c>
      <c r="M1160" s="22" t="n">
        <v>21</v>
      </c>
      <c r="N1160" s="15" t="n">
        <f aca="false">SUMPRODUCT(COUNTIF(G1160:L1160,번호조회!$B$4:$B$9))</f>
        <v>0</v>
      </c>
    </row>
    <row r="1161" customFormat="false" ht="16.5" hidden="false" customHeight="true" outlineLevel="0" collapsed="false">
      <c r="E1161" s="1" t="n">
        <f aca="false">$E$13-($F$13-F1161)*7</f>
        <v>38178</v>
      </c>
      <c r="F1161" s="12" t="n">
        <v>84</v>
      </c>
      <c r="G1161" s="16" t="n">
        <v>16</v>
      </c>
      <c r="H1161" s="17" t="n">
        <v>23</v>
      </c>
      <c r="I1161" s="18" t="n">
        <v>27</v>
      </c>
      <c r="J1161" s="19" t="n">
        <v>34</v>
      </c>
      <c r="K1161" s="20" t="n">
        <v>42</v>
      </c>
      <c r="L1161" s="21" t="n">
        <v>45</v>
      </c>
      <c r="M1161" s="22" t="n">
        <v>11</v>
      </c>
      <c r="N1161" s="15" t="n">
        <f aca="false">SUMPRODUCT(COUNTIF(G1161:L1161,번호조회!$B$4:$B$9))</f>
        <v>0</v>
      </c>
    </row>
    <row r="1162" customFormat="false" ht="16.5" hidden="false" customHeight="true" outlineLevel="0" collapsed="false">
      <c r="E1162" s="1" t="n">
        <f aca="false">$E$13-($F$13-F1162)*7</f>
        <v>38171</v>
      </c>
      <c r="F1162" s="12" t="n">
        <v>83</v>
      </c>
      <c r="G1162" s="16" t="n">
        <v>6</v>
      </c>
      <c r="H1162" s="17" t="n">
        <v>10</v>
      </c>
      <c r="I1162" s="18" t="n">
        <v>15</v>
      </c>
      <c r="J1162" s="19" t="n">
        <v>17</v>
      </c>
      <c r="K1162" s="20" t="n">
        <v>19</v>
      </c>
      <c r="L1162" s="21" t="n">
        <v>34</v>
      </c>
      <c r="M1162" s="22" t="n">
        <v>14</v>
      </c>
      <c r="N1162" s="15" t="n">
        <f aca="false">SUMPRODUCT(COUNTIF(G1162:L1162,번호조회!$B$4:$B$9))</f>
        <v>0</v>
      </c>
    </row>
    <row r="1163" customFormat="false" ht="16.5" hidden="false" customHeight="true" outlineLevel="0" collapsed="false">
      <c r="E1163" s="1" t="n">
        <f aca="false">$E$13-($F$13-F1163)*7</f>
        <v>38164</v>
      </c>
      <c r="F1163" s="12" t="n">
        <v>82</v>
      </c>
      <c r="G1163" s="16" t="n">
        <v>1</v>
      </c>
      <c r="H1163" s="17" t="n">
        <v>2</v>
      </c>
      <c r="I1163" s="18" t="n">
        <v>3</v>
      </c>
      <c r="J1163" s="19" t="n">
        <v>14</v>
      </c>
      <c r="K1163" s="20" t="n">
        <v>27</v>
      </c>
      <c r="L1163" s="21" t="n">
        <v>42</v>
      </c>
      <c r="M1163" s="22" t="n">
        <v>39</v>
      </c>
      <c r="N1163" s="15" t="n">
        <f aca="false">SUMPRODUCT(COUNTIF(G1163:L1163,번호조회!$B$4:$B$9))</f>
        <v>0</v>
      </c>
    </row>
    <row r="1164" customFormat="false" ht="16.5" hidden="false" customHeight="true" outlineLevel="0" collapsed="false">
      <c r="E1164" s="1" t="n">
        <f aca="false">$E$13-($F$13-F1164)*7</f>
        <v>38157</v>
      </c>
      <c r="F1164" s="12" t="n">
        <v>81</v>
      </c>
      <c r="G1164" s="16" t="n">
        <v>5</v>
      </c>
      <c r="H1164" s="17" t="n">
        <v>7</v>
      </c>
      <c r="I1164" s="18" t="n">
        <v>11</v>
      </c>
      <c r="J1164" s="19" t="n">
        <v>13</v>
      </c>
      <c r="K1164" s="20" t="n">
        <v>20</v>
      </c>
      <c r="L1164" s="21" t="n">
        <v>33</v>
      </c>
      <c r="M1164" s="22" t="n">
        <v>6</v>
      </c>
      <c r="N1164" s="15" t="n">
        <f aca="false">SUMPRODUCT(COUNTIF(G1164:L1164,번호조회!$B$4:$B$9))</f>
        <v>0</v>
      </c>
    </row>
    <row r="1165" customFormat="false" ht="16.5" hidden="false" customHeight="true" outlineLevel="0" collapsed="false">
      <c r="E1165" s="1" t="n">
        <f aca="false">$E$13-($F$13-F1165)*7</f>
        <v>38150</v>
      </c>
      <c r="F1165" s="12" t="n">
        <v>80</v>
      </c>
      <c r="G1165" s="16" t="n">
        <v>17</v>
      </c>
      <c r="H1165" s="17" t="n">
        <v>18</v>
      </c>
      <c r="I1165" s="18" t="n">
        <v>24</v>
      </c>
      <c r="J1165" s="19" t="n">
        <v>25</v>
      </c>
      <c r="K1165" s="20" t="n">
        <v>26</v>
      </c>
      <c r="L1165" s="21" t="n">
        <v>30</v>
      </c>
      <c r="M1165" s="22" t="n">
        <v>1</v>
      </c>
      <c r="N1165" s="15" t="n">
        <f aca="false">SUMPRODUCT(COUNTIF(G1165:L1165,번호조회!$B$4:$B$9))</f>
        <v>0</v>
      </c>
    </row>
    <row r="1166" customFormat="false" ht="16.5" hidden="false" customHeight="true" outlineLevel="0" collapsed="false">
      <c r="E1166" s="1" t="n">
        <f aca="false">$E$13-($F$13-F1166)*7</f>
        <v>38143</v>
      </c>
      <c r="F1166" s="12" t="n">
        <v>79</v>
      </c>
      <c r="G1166" s="16" t="n">
        <v>3</v>
      </c>
      <c r="H1166" s="17" t="n">
        <v>12</v>
      </c>
      <c r="I1166" s="18" t="n">
        <v>24</v>
      </c>
      <c r="J1166" s="19" t="n">
        <v>27</v>
      </c>
      <c r="K1166" s="20" t="n">
        <v>30</v>
      </c>
      <c r="L1166" s="21" t="n">
        <v>32</v>
      </c>
      <c r="M1166" s="22" t="n">
        <v>14</v>
      </c>
      <c r="N1166" s="15" t="n">
        <f aca="false">SUMPRODUCT(COUNTIF(G1166:L1166,번호조회!$B$4:$B$9))</f>
        <v>0</v>
      </c>
    </row>
    <row r="1167" customFormat="false" ht="16.5" hidden="false" customHeight="true" outlineLevel="0" collapsed="false">
      <c r="E1167" s="1" t="n">
        <f aca="false">$E$13-($F$13-F1167)*7</f>
        <v>38136</v>
      </c>
      <c r="F1167" s="12" t="n">
        <v>78</v>
      </c>
      <c r="G1167" s="16" t="n">
        <v>10</v>
      </c>
      <c r="H1167" s="17" t="n">
        <v>13</v>
      </c>
      <c r="I1167" s="18" t="n">
        <v>25</v>
      </c>
      <c r="J1167" s="19" t="n">
        <v>29</v>
      </c>
      <c r="K1167" s="20" t="n">
        <v>33</v>
      </c>
      <c r="L1167" s="21" t="n">
        <v>35</v>
      </c>
      <c r="M1167" s="22" t="n">
        <v>38</v>
      </c>
      <c r="N1167" s="15" t="n">
        <f aca="false">SUMPRODUCT(COUNTIF(G1167:L1167,번호조회!$B$4:$B$9))</f>
        <v>0</v>
      </c>
    </row>
    <row r="1168" customFormat="false" ht="16.5" hidden="false" customHeight="true" outlineLevel="0" collapsed="false">
      <c r="E1168" s="1" t="n">
        <f aca="false">$E$13-($F$13-F1168)*7</f>
        <v>38129</v>
      </c>
      <c r="F1168" s="12" t="n">
        <v>77</v>
      </c>
      <c r="G1168" s="16" t="n">
        <v>2</v>
      </c>
      <c r="H1168" s="17" t="n">
        <v>18</v>
      </c>
      <c r="I1168" s="18" t="n">
        <v>29</v>
      </c>
      <c r="J1168" s="19" t="n">
        <v>32</v>
      </c>
      <c r="K1168" s="20" t="n">
        <v>43</v>
      </c>
      <c r="L1168" s="21" t="n">
        <v>44</v>
      </c>
      <c r="M1168" s="22" t="n">
        <v>37</v>
      </c>
      <c r="N1168" s="15" t="n">
        <f aca="false">SUMPRODUCT(COUNTIF(G1168:L1168,번호조회!$B$4:$B$9))</f>
        <v>0</v>
      </c>
    </row>
    <row r="1169" customFormat="false" ht="16.5" hidden="false" customHeight="true" outlineLevel="0" collapsed="false">
      <c r="E1169" s="1" t="n">
        <f aca="false">$E$13-($F$13-F1169)*7</f>
        <v>38122</v>
      </c>
      <c r="F1169" s="12" t="n">
        <v>76</v>
      </c>
      <c r="G1169" s="16" t="n">
        <v>1</v>
      </c>
      <c r="H1169" s="17" t="n">
        <v>3</v>
      </c>
      <c r="I1169" s="18" t="n">
        <v>15</v>
      </c>
      <c r="J1169" s="19" t="n">
        <v>22</v>
      </c>
      <c r="K1169" s="20" t="n">
        <v>25</v>
      </c>
      <c r="L1169" s="21" t="n">
        <v>37</v>
      </c>
      <c r="M1169" s="22" t="n">
        <v>43</v>
      </c>
      <c r="N1169" s="15" t="n">
        <f aca="false">SUMPRODUCT(COUNTIF(G1169:L1169,번호조회!$B$4:$B$9))</f>
        <v>0</v>
      </c>
    </row>
    <row r="1170" customFormat="false" ht="16.5" hidden="false" customHeight="true" outlineLevel="0" collapsed="false">
      <c r="E1170" s="1" t="n">
        <f aca="false">$E$13-($F$13-F1170)*7</f>
        <v>38115</v>
      </c>
      <c r="F1170" s="12" t="n">
        <v>75</v>
      </c>
      <c r="G1170" s="16" t="n">
        <v>2</v>
      </c>
      <c r="H1170" s="17" t="n">
        <v>5</v>
      </c>
      <c r="I1170" s="18" t="n">
        <v>24</v>
      </c>
      <c r="J1170" s="19" t="n">
        <v>32</v>
      </c>
      <c r="K1170" s="20" t="n">
        <v>34</v>
      </c>
      <c r="L1170" s="21" t="n">
        <v>44</v>
      </c>
      <c r="M1170" s="22" t="n">
        <v>28</v>
      </c>
      <c r="N1170" s="15" t="n">
        <f aca="false">SUMPRODUCT(COUNTIF(G1170:L1170,번호조회!$B$4:$B$9))</f>
        <v>0</v>
      </c>
    </row>
    <row r="1171" customFormat="false" ht="16.5" hidden="false" customHeight="true" outlineLevel="0" collapsed="false">
      <c r="E1171" s="1" t="n">
        <f aca="false">$E$13-($F$13-F1171)*7</f>
        <v>38108</v>
      </c>
      <c r="F1171" s="12" t="n">
        <v>74</v>
      </c>
      <c r="G1171" s="16" t="n">
        <v>6</v>
      </c>
      <c r="H1171" s="17" t="n">
        <v>15</v>
      </c>
      <c r="I1171" s="18" t="n">
        <v>17</v>
      </c>
      <c r="J1171" s="19" t="n">
        <v>18</v>
      </c>
      <c r="K1171" s="20" t="n">
        <v>35</v>
      </c>
      <c r="L1171" s="21" t="n">
        <v>40</v>
      </c>
      <c r="M1171" s="22" t="n">
        <v>23</v>
      </c>
      <c r="N1171" s="15" t="n">
        <f aca="false">SUMPRODUCT(COUNTIF(G1171:L1171,번호조회!$B$4:$B$9))</f>
        <v>0</v>
      </c>
    </row>
    <row r="1172" customFormat="false" ht="16.5" hidden="false" customHeight="true" outlineLevel="0" collapsed="false">
      <c r="E1172" s="1" t="n">
        <f aca="false">$E$13-($F$13-F1172)*7</f>
        <v>38101</v>
      </c>
      <c r="F1172" s="12" t="n">
        <v>73</v>
      </c>
      <c r="G1172" s="16" t="n">
        <v>3</v>
      </c>
      <c r="H1172" s="17" t="n">
        <v>12</v>
      </c>
      <c r="I1172" s="18" t="n">
        <v>18</v>
      </c>
      <c r="J1172" s="19" t="n">
        <v>32</v>
      </c>
      <c r="K1172" s="20" t="n">
        <v>40</v>
      </c>
      <c r="L1172" s="21" t="n">
        <v>43</v>
      </c>
      <c r="M1172" s="22" t="n">
        <v>38</v>
      </c>
      <c r="N1172" s="15" t="n">
        <f aca="false">SUMPRODUCT(COUNTIF(G1172:L1172,번호조회!$B$4:$B$9))</f>
        <v>0</v>
      </c>
    </row>
    <row r="1173" customFormat="false" ht="16.5" hidden="false" customHeight="true" outlineLevel="0" collapsed="false">
      <c r="E1173" s="1" t="n">
        <f aca="false">$E$13-($F$13-F1173)*7</f>
        <v>38094</v>
      </c>
      <c r="F1173" s="12" t="n">
        <v>72</v>
      </c>
      <c r="G1173" s="16" t="n">
        <v>2</v>
      </c>
      <c r="H1173" s="17" t="n">
        <v>4</v>
      </c>
      <c r="I1173" s="18" t="n">
        <v>11</v>
      </c>
      <c r="J1173" s="19" t="n">
        <v>17</v>
      </c>
      <c r="K1173" s="20" t="n">
        <v>26</v>
      </c>
      <c r="L1173" s="21" t="n">
        <v>27</v>
      </c>
      <c r="M1173" s="22" t="n">
        <v>1</v>
      </c>
      <c r="N1173" s="15" t="n">
        <f aca="false">SUMPRODUCT(COUNTIF(G1173:L1173,번호조회!$B$4:$B$9))</f>
        <v>0</v>
      </c>
    </row>
    <row r="1174" customFormat="false" ht="16.5" hidden="false" customHeight="true" outlineLevel="0" collapsed="false">
      <c r="E1174" s="1" t="n">
        <f aca="false">$E$13-($F$13-F1174)*7</f>
        <v>38087</v>
      </c>
      <c r="F1174" s="12" t="n">
        <v>71</v>
      </c>
      <c r="G1174" s="16" t="n">
        <v>5</v>
      </c>
      <c r="H1174" s="17" t="n">
        <v>9</v>
      </c>
      <c r="I1174" s="18" t="n">
        <v>12</v>
      </c>
      <c r="J1174" s="19" t="n">
        <v>16</v>
      </c>
      <c r="K1174" s="20" t="n">
        <v>29</v>
      </c>
      <c r="L1174" s="21" t="n">
        <v>41</v>
      </c>
      <c r="M1174" s="22" t="n">
        <v>21</v>
      </c>
      <c r="N1174" s="15" t="n">
        <f aca="false">SUMPRODUCT(COUNTIF(G1174:L1174,번호조회!$B$4:$B$9))</f>
        <v>0</v>
      </c>
    </row>
    <row r="1175" customFormat="false" ht="16.5" hidden="false" customHeight="true" outlineLevel="0" collapsed="false">
      <c r="E1175" s="1" t="n">
        <f aca="false">$E$13-($F$13-F1175)*7</f>
        <v>38080</v>
      </c>
      <c r="F1175" s="12" t="n">
        <v>70</v>
      </c>
      <c r="G1175" s="16" t="n">
        <v>5</v>
      </c>
      <c r="H1175" s="17" t="n">
        <v>19</v>
      </c>
      <c r="I1175" s="18" t="n">
        <v>22</v>
      </c>
      <c r="J1175" s="19" t="n">
        <v>25</v>
      </c>
      <c r="K1175" s="20" t="n">
        <v>28</v>
      </c>
      <c r="L1175" s="21" t="n">
        <v>43</v>
      </c>
      <c r="M1175" s="22" t="n">
        <v>26</v>
      </c>
      <c r="N1175" s="15" t="n">
        <f aca="false">SUMPRODUCT(COUNTIF(G1175:L1175,번호조회!$B$4:$B$9))</f>
        <v>0</v>
      </c>
    </row>
    <row r="1176" customFormat="false" ht="16.5" hidden="false" customHeight="true" outlineLevel="0" collapsed="false">
      <c r="E1176" s="1" t="n">
        <f aca="false">$E$13-($F$13-F1176)*7</f>
        <v>38073</v>
      </c>
      <c r="F1176" s="12" t="n">
        <v>69</v>
      </c>
      <c r="G1176" s="16" t="n">
        <v>5</v>
      </c>
      <c r="H1176" s="17" t="n">
        <v>8</v>
      </c>
      <c r="I1176" s="18" t="n">
        <v>14</v>
      </c>
      <c r="J1176" s="19" t="n">
        <v>15</v>
      </c>
      <c r="K1176" s="20" t="n">
        <v>19</v>
      </c>
      <c r="L1176" s="21" t="n">
        <v>39</v>
      </c>
      <c r="M1176" s="22" t="n">
        <v>35</v>
      </c>
      <c r="N1176" s="15" t="n">
        <f aca="false">SUMPRODUCT(COUNTIF(G1176:L1176,번호조회!$B$4:$B$9))</f>
        <v>0</v>
      </c>
    </row>
    <row r="1177" customFormat="false" ht="16.5" hidden="false" customHeight="true" outlineLevel="0" collapsed="false">
      <c r="E1177" s="1" t="n">
        <f aca="false">$E$13-($F$13-F1177)*7</f>
        <v>38066</v>
      </c>
      <c r="F1177" s="12" t="n">
        <v>68</v>
      </c>
      <c r="G1177" s="16" t="n">
        <v>10</v>
      </c>
      <c r="H1177" s="17" t="n">
        <v>12</v>
      </c>
      <c r="I1177" s="18" t="n">
        <v>15</v>
      </c>
      <c r="J1177" s="19" t="n">
        <v>16</v>
      </c>
      <c r="K1177" s="20" t="n">
        <v>26</v>
      </c>
      <c r="L1177" s="21" t="n">
        <v>39</v>
      </c>
      <c r="M1177" s="22" t="n">
        <v>38</v>
      </c>
      <c r="N1177" s="15" t="n">
        <f aca="false">SUMPRODUCT(COUNTIF(G1177:L1177,번호조회!$B$4:$B$9))</f>
        <v>0</v>
      </c>
    </row>
    <row r="1178" customFormat="false" ht="16.5" hidden="false" customHeight="true" outlineLevel="0" collapsed="false">
      <c r="E1178" s="1" t="n">
        <f aca="false">$E$13-($F$13-F1178)*7</f>
        <v>38059</v>
      </c>
      <c r="F1178" s="12" t="n">
        <v>67</v>
      </c>
      <c r="G1178" s="16" t="n">
        <v>3</v>
      </c>
      <c r="H1178" s="17" t="n">
        <v>7</v>
      </c>
      <c r="I1178" s="18" t="n">
        <v>10</v>
      </c>
      <c r="J1178" s="19" t="n">
        <v>15</v>
      </c>
      <c r="K1178" s="20" t="n">
        <v>36</v>
      </c>
      <c r="L1178" s="21" t="n">
        <v>38</v>
      </c>
      <c r="M1178" s="22" t="n">
        <v>33</v>
      </c>
      <c r="N1178" s="15" t="n">
        <f aca="false">SUMPRODUCT(COUNTIF(G1178:L1178,번호조회!$B$4:$B$9))</f>
        <v>0</v>
      </c>
    </row>
    <row r="1179" customFormat="false" ht="16.5" hidden="false" customHeight="true" outlineLevel="0" collapsed="false">
      <c r="E1179" s="1" t="n">
        <f aca="false">$E$13-($F$13-F1179)*7</f>
        <v>38052</v>
      </c>
      <c r="F1179" s="12" t="n">
        <v>66</v>
      </c>
      <c r="G1179" s="16" t="n">
        <v>2</v>
      </c>
      <c r="H1179" s="17" t="n">
        <v>3</v>
      </c>
      <c r="I1179" s="18" t="n">
        <v>7</v>
      </c>
      <c r="J1179" s="19" t="n">
        <v>17</v>
      </c>
      <c r="K1179" s="20" t="n">
        <v>22</v>
      </c>
      <c r="L1179" s="21" t="n">
        <v>24</v>
      </c>
      <c r="M1179" s="22" t="n">
        <v>45</v>
      </c>
      <c r="N1179" s="15" t="n">
        <f aca="false">SUMPRODUCT(COUNTIF(G1179:L1179,번호조회!$B$4:$B$9))</f>
        <v>0</v>
      </c>
    </row>
    <row r="1180" customFormat="false" ht="16.5" hidden="false" customHeight="true" outlineLevel="0" collapsed="false">
      <c r="E1180" s="1" t="n">
        <f aca="false">$E$13-($F$13-F1180)*7</f>
        <v>38045</v>
      </c>
      <c r="F1180" s="12" t="n">
        <v>65</v>
      </c>
      <c r="G1180" s="16" t="n">
        <v>4</v>
      </c>
      <c r="H1180" s="17" t="n">
        <v>25</v>
      </c>
      <c r="I1180" s="18" t="n">
        <v>33</v>
      </c>
      <c r="J1180" s="19" t="n">
        <v>36</v>
      </c>
      <c r="K1180" s="20" t="n">
        <v>40</v>
      </c>
      <c r="L1180" s="21" t="n">
        <v>43</v>
      </c>
      <c r="M1180" s="22" t="n">
        <v>39</v>
      </c>
      <c r="N1180" s="15" t="n">
        <f aca="false">SUMPRODUCT(COUNTIF(G1180:L1180,번호조회!$B$4:$B$9))</f>
        <v>0</v>
      </c>
    </row>
    <row r="1181" customFormat="false" ht="16.5" hidden="false" customHeight="true" outlineLevel="0" collapsed="false">
      <c r="E1181" s="1" t="n">
        <f aca="false">$E$13-($F$13-F1181)*7</f>
        <v>38038</v>
      </c>
      <c r="F1181" s="12" t="n">
        <v>64</v>
      </c>
      <c r="G1181" s="16" t="n">
        <v>14</v>
      </c>
      <c r="H1181" s="17" t="n">
        <v>15</v>
      </c>
      <c r="I1181" s="18" t="n">
        <v>18</v>
      </c>
      <c r="J1181" s="19" t="n">
        <v>21</v>
      </c>
      <c r="K1181" s="20" t="n">
        <v>26</v>
      </c>
      <c r="L1181" s="21" t="n">
        <v>36</v>
      </c>
      <c r="M1181" s="22" t="n">
        <v>39</v>
      </c>
      <c r="N1181" s="15" t="n">
        <f aca="false">SUMPRODUCT(COUNTIF(G1181:L1181,번호조회!$B$4:$B$9))</f>
        <v>0</v>
      </c>
    </row>
    <row r="1182" customFormat="false" ht="16.5" hidden="false" customHeight="true" outlineLevel="0" collapsed="false">
      <c r="E1182" s="1" t="n">
        <f aca="false">$E$13-($F$13-F1182)*7</f>
        <v>38031</v>
      </c>
      <c r="F1182" s="12" t="n">
        <v>63</v>
      </c>
      <c r="G1182" s="16" t="n">
        <v>3</v>
      </c>
      <c r="H1182" s="17" t="n">
        <v>20</v>
      </c>
      <c r="I1182" s="18" t="n">
        <v>23</v>
      </c>
      <c r="J1182" s="19" t="n">
        <v>36</v>
      </c>
      <c r="K1182" s="20" t="n">
        <v>38</v>
      </c>
      <c r="L1182" s="21" t="n">
        <v>40</v>
      </c>
      <c r="M1182" s="22" t="n">
        <v>5</v>
      </c>
      <c r="N1182" s="15" t="n">
        <f aca="false">SUMPRODUCT(COUNTIF(G1182:L1182,번호조회!$B$4:$B$9))</f>
        <v>0</v>
      </c>
    </row>
    <row r="1183" customFormat="false" ht="16.5" hidden="false" customHeight="true" outlineLevel="0" collapsed="false">
      <c r="E1183" s="1" t="n">
        <f aca="false">$E$13-($F$13-F1183)*7</f>
        <v>38024</v>
      </c>
      <c r="F1183" s="12" t="n">
        <v>62</v>
      </c>
      <c r="G1183" s="16" t="n">
        <v>3</v>
      </c>
      <c r="H1183" s="17" t="n">
        <v>8</v>
      </c>
      <c r="I1183" s="18" t="n">
        <v>15</v>
      </c>
      <c r="J1183" s="19" t="n">
        <v>27</v>
      </c>
      <c r="K1183" s="20" t="n">
        <v>29</v>
      </c>
      <c r="L1183" s="21" t="n">
        <v>35</v>
      </c>
      <c r="M1183" s="22" t="n">
        <v>21</v>
      </c>
      <c r="N1183" s="15" t="n">
        <f aca="false">SUMPRODUCT(COUNTIF(G1183:L1183,번호조회!$B$4:$B$9))</f>
        <v>0</v>
      </c>
    </row>
    <row r="1184" customFormat="false" ht="16.5" hidden="false" customHeight="true" outlineLevel="0" collapsed="false">
      <c r="E1184" s="1" t="n">
        <f aca="false">$E$13-($F$13-F1184)*7</f>
        <v>38017</v>
      </c>
      <c r="F1184" s="12" t="n">
        <v>61</v>
      </c>
      <c r="G1184" s="16" t="n">
        <v>14</v>
      </c>
      <c r="H1184" s="17" t="n">
        <v>15</v>
      </c>
      <c r="I1184" s="18" t="n">
        <v>19</v>
      </c>
      <c r="J1184" s="19" t="n">
        <v>30</v>
      </c>
      <c r="K1184" s="20" t="n">
        <v>38</v>
      </c>
      <c r="L1184" s="21" t="n">
        <v>43</v>
      </c>
      <c r="M1184" s="22" t="n">
        <v>8</v>
      </c>
      <c r="N1184" s="15" t="n">
        <f aca="false">SUMPRODUCT(COUNTIF(G1184:L1184,번호조회!$B$4:$B$9))</f>
        <v>0</v>
      </c>
    </row>
    <row r="1185" customFormat="false" ht="16.5" hidden="false" customHeight="true" outlineLevel="0" collapsed="false">
      <c r="E1185" s="1" t="n">
        <f aca="false">$E$13-($F$13-F1185)*7</f>
        <v>38010</v>
      </c>
      <c r="F1185" s="12" t="n">
        <v>60</v>
      </c>
      <c r="G1185" s="16" t="n">
        <v>2</v>
      </c>
      <c r="H1185" s="17" t="n">
        <v>8</v>
      </c>
      <c r="I1185" s="18" t="n">
        <v>25</v>
      </c>
      <c r="J1185" s="19" t="n">
        <v>36</v>
      </c>
      <c r="K1185" s="20" t="n">
        <v>39</v>
      </c>
      <c r="L1185" s="21" t="n">
        <v>42</v>
      </c>
      <c r="M1185" s="22" t="n">
        <v>11</v>
      </c>
      <c r="N1185" s="15" t="n">
        <f aca="false">SUMPRODUCT(COUNTIF(G1185:L1185,번호조회!$B$4:$B$9))</f>
        <v>0</v>
      </c>
    </row>
    <row r="1186" customFormat="false" ht="16.5" hidden="false" customHeight="true" outlineLevel="0" collapsed="false">
      <c r="E1186" s="1" t="n">
        <f aca="false">$E$13-($F$13-F1186)*7</f>
        <v>38003</v>
      </c>
      <c r="F1186" s="12" t="n">
        <v>59</v>
      </c>
      <c r="G1186" s="16" t="n">
        <v>6</v>
      </c>
      <c r="H1186" s="17" t="n">
        <v>29</v>
      </c>
      <c r="I1186" s="18" t="n">
        <v>36</v>
      </c>
      <c r="J1186" s="19" t="n">
        <v>39</v>
      </c>
      <c r="K1186" s="20" t="n">
        <v>41</v>
      </c>
      <c r="L1186" s="21" t="n">
        <v>45</v>
      </c>
      <c r="M1186" s="22" t="n">
        <v>13</v>
      </c>
      <c r="N1186" s="15" t="n">
        <f aca="false">SUMPRODUCT(COUNTIF(G1186:L1186,번호조회!$B$4:$B$9))</f>
        <v>0</v>
      </c>
    </row>
    <row r="1187" customFormat="false" ht="16.5" hidden="false" customHeight="true" outlineLevel="0" collapsed="false">
      <c r="E1187" s="1" t="n">
        <f aca="false">$E$13-($F$13-F1187)*7</f>
        <v>37996</v>
      </c>
      <c r="F1187" s="12" t="n">
        <v>58</v>
      </c>
      <c r="G1187" s="16" t="n">
        <v>10</v>
      </c>
      <c r="H1187" s="17" t="n">
        <v>24</v>
      </c>
      <c r="I1187" s="18" t="n">
        <v>25</v>
      </c>
      <c r="J1187" s="19" t="n">
        <v>33</v>
      </c>
      <c r="K1187" s="20" t="n">
        <v>40</v>
      </c>
      <c r="L1187" s="21" t="n">
        <v>44</v>
      </c>
      <c r="M1187" s="22" t="n">
        <v>1</v>
      </c>
      <c r="N1187" s="15" t="n">
        <f aca="false">SUMPRODUCT(COUNTIF(G1187:L1187,번호조회!$B$4:$B$9))</f>
        <v>0</v>
      </c>
    </row>
    <row r="1188" customFormat="false" ht="16.5" hidden="false" customHeight="true" outlineLevel="0" collapsed="false">
      <c r="E1188" s="1" t="n">
        <f aca="false">$E$13-($F$13-F1188)*7</f>
        <v>37989</v>
      </c>
      <c r="F1188" s="12" t="n">
        <v>57</v>
      </c>
      <c r="G1188" s="16" t="n">
        <v>7</v>
      </c>
      <c r="H1188" s="17" t="n">
        <v>10</v>
      </c>
      <c r="I1188" s="18" t="n">
        <v>16</v>
      </c>
      <c r="J1188" s="19" t="n">
        <v>25</v>
      </c>
      <c r="K1188" s="20" t="n">
        <v>29</v>
      </c>
      <c r="L1188" s="21" t="n">
        <v>44</v>
      </c>
      <c r="M1188" s="22" t="n">
        <v>6</v>
      </c>
      <c r="N1188" s="15" t="n">
        <f aca="false">SUMPRODUCT(COUNTIF(G1188:L1188,번호조회!$B$4:$B$9))</f>
        <v>0</v>
      </c>
    </row>
    <row r="1189" customFormat="false" ht="16.5" hidden="false" customHeight="true" outlineLevel="0" collapsed="false">
      <c r="E1189" s="1" t="n">
        <f aca="false">$E$13-($F$13-F1189)*7</f>
        <v>37982</v>
      </c>
      <c r="F1189" s="12" t="n">
        <v>56</v>
      </c>
      <c r="G1189" s="16" t="n">
        <v>10</v>
      </c>
      <c r="H1189" s="17" t="n">
        <v>14</v>
      </c>
      <c r="I1189" s="18" t="n">
        <v>30</v>
      </c>
      <c r="J1189" s="19" t="n">
        <v>31</v>
      </c>
      <c r="K1189" s="20" t="n">
        <v>33</v>
      </c>
      <c r="L1189" s="21" t="n">
        <v>37</v>
      </c>
      <c r="M1189" s="22" t="n">
        <v>19</v>
      </c>
      <c r="N1189" s="15" t="n">
        <f aca="false">SUMPRODUCT(COUNTIF(G1189:L1189,번호조회!$B$4:$B$9))</f>
        <v>0</v>
      </c>
    </row>
    <row r="1190" customFormat="false" ht="16.5" hidden="false" customHeight="true" outlineLevel="0" collapsed="false">
      <c r="E1190" s="1" t="n">
        <f aca="false">$E$13-($F$13-F1190)*7</f>
        <v>37975</v>
      </c>
      <c r="F1190" s="12" t="n">
        <v>55</v>
      </c>
      <c r="G1190" s="16" t="n">
        <v>17</v>
      </c>
      <c r="H1190" s="17" t="n">
        <v>21</v>
      </c>
      <c r="I1190" s="18" t="n">
        <v>31</v>
      </c>
      <c r="J1190" s="19" t="n">
        <v>37</v>
      </c>
      <c r="K1190" s="20" t="n">
        <v>40</v>
      </c>
      <c r="L1190" s="21" t="n">
        <v>44</v>
      </c>
      <c r="M1190" s="22" t="n">
        <v>7</v>
      </c>
      <c r="N1190" s="15" t="n">
        <f aca="false">SUMPRODUCT(COUNTIF(G1190:L1190,번호조회!$B$4:$B$9))</f>
        <v>0</v>
      </c>
    </row>
    <row r="1191" customFormat="false" ht="16.5" hidden="false" customHeight="true" outlineLevel="0" collapsed="false">
      <c r="E1191" s="1" t="n">
        <f aca="false">$E$13-($F$13-F1191)*7</f>
        <v>37968</v>
      </c>
      <c r="F1191" s="12" t="n">
        <v>54</v>
      </c>
      <c r="G1191" s="16" t="n">
        <v>1</v>
      </c>
      <c r="H1191" s="17" t="n">
        <v>8</v>
      </c>
      <c r="I1191" s="18" t="n">
        <v>21</v>
      </c>
      <c r="J1191" s="19" t="n">
        <v>27</v>
      </c>
      <c r="K1191" s="20" t="n">
        <v>36</v>
      </c>
      <c r="L1191" s="21" t="n">
        <v>39</v>
      </c>
      <c r="M1191" s="22" t="n">
        <v>37</v>
      </c>
      <c r="N1191" s="15" t="n">
        <f aca="false">SUMPRODUCT(COUNTIF(G1191:L1191,번호조회!$B$4:$B$9))</f>
        <v>0</v>
      </c>
    </row>
    <row r="1192" customFormat="false" ht="16.5" hidden="false" customHeight="true" outlineLevel="0" collapsed="false">
      <c r="E1192" s="1" t="n">
        <f aca="false">$E$13-($F$13-F1192)*7</f>
        <v>37961</v>
      </c>
      <c r="F1192" s="12" t="n">
        <v>53</v>
      </c>
      <c r="G1192" s="16" t="n">
        <v>7</v>
      </c>
      <c r="H1192" s="17" t="n">
        <v>8</v>
      </c>
      <c r="I1192" s="18" t="n">
        <v>14</v>
      </c>
      <c r="J1192" s="19" t="n">
        <v>32</v>
      </c>
      <c r="K1192" s="20" t="n">
        <v>33</v>
      </c>
      <c r="L1192" s="21" t="n">
        <v>39</v>
      </c>
      <c r="M1192" s="22" t="n">
        <v>42</v>
      </c>
      <c r="N1192" s="15" t="n">
        <f aca="false">SUMPRODUCT(COUNTIF(G1192:L1192,번호조회!$B$4:$B$9))</f>
        <v>0</v>
      </c>
    </row>
    <row r="1193" customFormat="false" ht="16.5" hidden="false" customHeight="true" outlineLevel="0" collapsed="false">
      <c r="E1193" s="1" t="n">
        <f aca="false">$E$13-($F$13-F1193)*7</f>
        <v>37954</v>
      </c>
      <c r="F1193" s="12" t="n">
        <v>52</v>
      </c>
      <c r="G1193" s="16" t="n">
        <v>2</v>
      </c>
      <c r="H1193" s="17" t="n">
        <v>4</v>
      </c>
      <c r="I1193" s="18" t="n">
        <v>15</v>
      </c>
      <c r="J1193" s="19" t="n">
        <v>16</v>
      </c>
      <c r="K1193" s="20" t="n">
        <v>20</v>
      </c>
      <c r="L1193" s="21" t="n">
        <v>29</v>
      </c>
      <c r="M1193" s="22" t="n">
        <v>1</v>
      </c>
      <c r="N1193" s="15" t="n">
        <f aca="false">SUMPRODUCT(COUNTIF(G1193:L1193,번호조회!$B$4:$B$9))</f>
        <v>0</v>
      </c>
    </row>
    <row r="1194" customFormat="false" ht="16.5" hidden="false" customHeight="true" outlineLevel="0" collapsed="false">
      <c r="E1194" s="1" t="n">
        <f aca="false">$E$13-($F$13-F1194)*7</f>
        <v>37947</v>
      </c>
      <c r="F1194" s="12" t="n">
        <v>51</v>
      </c>
      <c r="G1194" s="16" t="n">
        <v>2</v>
      </c>
      <c r="H1194" s="17" t="n">
        <v>3</v>
      </c>
      <c r="I1194" s="18" t="n">
        <v>11</v>
      </c>
      <c r="J1194" s="19" t="n">
        <v>16</v>
      </c>
      <c r="K1194" s="20" t="n">
        <v>26</v>
      </c>
      <c r="L1194" s="21" t="n">
        <v>44</v>
      </c>
      <c r="M1194" s="22" t="n">
        <v>35</v>
      </c>
      <c r="N1194" s="15" t="n">
        <f aca="false">SUMPRODUCT(COUNTIF(G1194:L1194,번호조회!$B$4:$B$9))</f>
        <v>0</v>
      </c>
    </row>
    <row r="1195" customFormat="false" ht="16.5" hidden="false" customHeight="true" outlineLevel="0" collapsed="false">
      <c r="E1195" s="1" t="n">
        <f aca="false">$E$13-($F$13-F1195)*7</f>
        <v>37940</v>
      </c>
      <c r="F1195" s="12" t="n">
        <v>50</v>
      </c>
      <c r="G1195" s="16" t="n">
        <v>2</v>
      </c>
      <c r="H1195" s="17" t="n">
        <v>10</v>
      </c>
      <c r="I1195" s="18" t="n">
        <v>12</v>
      </c>
      <c r="J1195" s="19" t="n">
        <v>15</v>
      </c>
      <c r="K1195" s="20" t="n">
        <v>22</v>
      </c>
      <c r="L1195" s="21" t="n">
        <v>44</v>
      </c>
      <c r="M1195" s="22" t="n">
        <v>1</v>
      </c>
      <c r="N1195" s="15" t="n">
        <f aca="false">SUMPRODUCT(COUNTIF(G1195:L1195,번호조회!$B$4:$B$9))</f>
        <v>0</v>
      </c>
    </row>
    <row r="1196" customFormat="false" ht="16.5" hidden="false" customHeight="true" outlineLevel="0" collapsed="false">
      <c r="E1196" s="1" t="n">
        <f aca="false">$E$13-($F$13-F1196)*7</f>
        <v>37933</v>
      </c>
      <c r="F1196" s="12" t="n">
        <v>49</v>
      </c>
      <c r="G1196" s="16" t="n">
        <v>4</v>
      </c>
      <c r="H1196" s="17" t="n">
        <v>7</v>
      </c>
      <c r="I1196" s="18" t="n">
        <v>16</v>
      </c>
      <c r="J1196" s="19" t="n">
        <v>19</v>
      </c>
      <c r="K1196" s="20" t="n">
        <v>33</v>
      </c>
      <c r="L1196" s="21" t="n">
        <v>40</v>
      </c>
      <c r="M1196" s="22" t="n">
        <v>30</v>
      </c>
      <c r="N1196" s="15" t="n">
        <f aca="false">SUMPRODUCT(COUNTIF(G1196:L1196,번호조회!$B$4:$B$9))</f>
        <v>0</v>
      </c>
    </row>
    <row r="1197" customFormat="false" ht="16.5" hidden="false" customHeight="true" outlineLevel="0" collapsed="false">
      <c r="E1197" s="1" t="n">
        <f aca="false">$E$13-($F$13-F1197)*7</f>
        <v>37926</v>
      </c>
      <c r="F1197" s="12" t="n">
        <v>48</v>
      </c>
      <c r="G1197" s="16" t="n">
        <v>6</v>
      </c>
      <c r="H1197" s="17" t="n">
        <v>10</v>
      </c>
      <c r="I1197" s="18" t="n">
        <v>18</v>
      </c>
      <c r="J1197" s="19" t="n">
        <v>26</v>
      </c>
      <c r="K1197" s="20" t="n">
        <v>37</v>
      </c>
      <c r="L1197" s="21" t="n">
        <v>38</v>
      </c>
      <c r="M1197" s="22" t="n">
        <v>3</v>
      </c>
      <c r="N1197" s="15" t="n">
        <f aca="false">SUMPRODUCT(COUNTIF(G1197:L1197,번호조회!$B$4:$B$9))</f>
        <v>0</v>
      </c>
    </row>
    <row r="1198" customFormat="false" ht="16.5" hidden="false" customHeight="true" outlineLevel="0" collapsed="false">
      <c r="E1198" s="1" t="n">
        <f aca="false">$E$13-($F$13-F1198)*7</f>
        <v>37919</v>
      </c>
      <c r="F1198" s="12" t="n">
        <v>47</v>
      </c>
      <c r="G1198" s="16" t="n">
        <v>14</v>
      </c>
      <c r="H1198" s="17" t="n">
        <v>17</v>
      </c>
      <c r="I1198" s="18" t="n">
        <v>26</v>
      </c>
      <c r="J1198" s="19" t="n">
        <v>31</v>
      </c>
      <c r="K1198" s="20" t="n">
        <v>36</v>
      </c>
      <c r="L1198" s="21" t="n">
        <v>45</v>
      </c>
      <c r="M1198" s="22" t="n">
        <v>27</v>
      </c>
      <c r="N1198" s="15" t="n">
        <f aca="false">SUMPRODUCT(COUNTIF(G1198:L1198,번호조회!$B$4:$B$9))</f>
        <v>0</v>
      </c>
    </row>
    <row r="1199" customFormat="false" ht="16.5" hidden="false" customHeight="true" outlineLevel="0" collapsed="false">
      <c r="E1199" s="1" t="n">
        <f aca="false">$E$13-($F$13-F1199)*7</f>
        <v>37912</v>
      </c>
      <c r="F1199" s="12" t="n">
        <v>46</v>
      </c>
      <c r="G1199" s="16" t="n">
        <v>8</v>
      </c>
      <c r="H1199" s="17" t="n">
        <v>13</v>
      </c>
      <c r="I1199" s="18" t="n">
        <v>15</v>
      </c>
      <c r="J1199" s="19" t="n">
        <v>23</v>
      </c>
      <c r="K1199" s="20" t="n">
        <v>31</v>
      </c>
      <c r="L1199" s="21" t="n">
        <v>38</v>
      </c>
      <c r="M1199" s="22" t="n">
        <v>39</v>
      </c>
      <c r="N1199" s="15" t="n">
        <f aca="false">SUMPRODUCT(COUNTIF(G1199:L1199,번호조회!$B$4:$B$9))</f>
        <v>0</v>
      </c>
    </row>
    <row r="1200" customFormat="false" ht="16.5" hidden="false" customHeight="true" outlineLevel="0" collapsed="false">
      <c r="E1200" s="1" t="n">
        <f aca="false">$E$13-($F$13-F1200)*7</f>
        <v>37905</v>
      </c>
      <c r="F1200" s="12" t="n">
        <v>45</v>
      </c>
      <c r="G1200" s="16" t="n">
        <v>1</v>
      </c>
      <c r="H1200" s="17" t="n">
        <v>10</v>
      </c>
      <c r="I1200" s="18" t="n">
        <v>20</v>
      </c>
      <c r="J1200" s="19" t="n">
        <v>27</v>
      </c>
      <c r="K1200" s="20" t="n">
        <v>33</v>
      </c>
      <c r="L1200" s="21" t="n">
        <v>35</v>
      </c>
      <c r="M1200" s="22" t="n">
        <v>17</v>
      </c>
      <c r="N1200" s="15" t="n">
        <f aca="false">SUMPRODUCT(COUNTIF(G1200:L1200,번호조회!$B$4:$B$9))</f>
        <v>0</v>
      </c>
    </row>
    <row r="1201" customFormat="false" ht="16.5" hidden="false" customHeight="true" outlineLevel="0" collapsed="false">
      <c r="E1201" s="1" t="n">
        <f aca="false">$E$13-($F$13-F1201)*7</f>
        <v>37898</v>
      </c>
      <c r="F1201" s="12" t="n">
        <v>44</v>
      </c>
      <c r="G1201" s="16" t="n">
        <v>3</v>
      </c>
      <c r="H1201" s="17" t="n">
        <v>11</v>
      </c>
      <c r="I1201" s="18" t="n">
        <v>21</v>
      </c>
      <c r="J1201" s="19" t="n">
        <v>30</v>
      </c>
      <c r="K1201" s="20" t="n">
        <v>38</v>
      </c>
      <c r="L1201" s="21" t="n">
        <v>45</v>
      </c>
      <c r="M1201" s="22" t="n">
        <v>39</v>
      </c>
      <c r="N1201" s="15" t="n">
        <f aca="false">SUMPRODUCT(COUNTIF(G1201:L1201,번호조회!$B$4:$B$9))</f>
        <v>0</v>
      </c>
    </row>
    <row r="1202" customFormat="false" ht="16.5" hidden="false" customHeight="true" outlineLevel="0" collapsed="false">
      <c r="E1202" s="1" t="n">
        <f aca="false">$E$13-($F$13-F1202)*7</f>
        <v>37891</v>
      </c>
      <c r="F1202" s="12" t="n">
        <v>43</v>
      </c>
      <c r="G1202" s="16" t="n">
        <v>6</v>
      </c>
      <c r="H1202" s="17" t="n">
        <v>31</v>
      </c>
      <c r="I1202" s="18" t="n">
        <v>35</v>
      </c>
      <c r="J1202" s="19" t="n">
        <v>38</v>
      </c>
      <c r="K1202" s="20" t="n">
        <v>39</v>
      </c>
      <c r="L1202" s="21" t="n">
        <v>44</v>
      </c>
      <c r="M1202" s="22" t="n">
        <v>1</v>
      </c>
      <c r="N1202" s="15" t="n">
        <f aca="false">SUMPRODUCT(COUNTIF(G1202:L1202,번호조회!$B$4:$B$9))</f>
        <v>0</v>
      </c>
    </row>
    <row r="1203" customFormat="false" ht="16.5" hidden="false" customHeight="true" outlineLevel="0" collapsed="false">
      <c r="E1203" s="1" t="n">
        <f aca="false">$E$13-($F$13-F1203)*7</f>
        <v>37884</v>
      </c>
      <c r="F1203" s="12" t="n">
        <v>42</v>
      </c>
      <c r="G1203" s="16" t="n">
        <v>17</v>
      </c>
      <c r="H1203" s="17" t="n">
        <v>18</v>
      </c>
      <c r="I1203" s="18" t="n">
        <v>19</v>
      </c>
      <c r="J1203" s="19" t="n">
        <v>21</v>
      </c>
      <c r="K1203" s="20" t="n">
        <v>23</v>
      </c>
      <c r="L1203" s="21" t="n">
        <v>32</v>
      </c>
      <c r="M1203" s="22" t="n">
        <v>1</v>
      </c>
      <c r="N1203" s="15" t="n">
        <f aca="false">SUMPRODUCT(COUNTIF(G1203:L1203,번호조회!$B$4:$B$9))</f>
        <v>0</v>
      </c>
    </row>
    <row r="1204" customFormat="false" ht="16.5" hidden="false" customHeight="true" outlineLevel="0" collapsed="false">
      <c r="E1204" s="1" t="n">
        <f aca="false">$E$13-($F$13-F1204)*7</f>
        <v>37877</v>
      </c>
      <c r="F1204" s="12" t="n">
        <v>41</v>
      </c>
      <c r="G1204" s="16" t="n">
        <v>13</v>
      </c>
      <c r="H1204" s="17" t="n">
        <v>20</v>
      </c>
      <c r="I1204" s="18" t="n">
        <v>23</v>
      </c>
      <c r="J1204" s="19" t="n">
        <v>35</v>
      </c>
      <c r="K1204" s="20" t="n">
        <v>38</v>
      </c>
      <c r="L1204" s="21" t="n">
        <v>43</v>
      </c>
      <c r="M1204" s="22" t="n">
        <v>34</v>
      </c>
      <c r="N1204" s="15" t="n">
        <f aca="false">SUMPRODUCT(COUNTIF(G1204:L1204,번호조회!$B$4:$B$9))</f>
        <v>0</v>
      </c>
    </row>
    <row r="1205" customFormat="false" ht="16.5" hidden="false" customHeight="true" outlineLevel="0" collapsed="false">
      <c r="E1205" s="1" t="n">
        <f aca="false">$E$13-($F$13-F1205)*7</f>
        <v>37870</v>
      </c>
      <c r="F1205" s="12" t="n">
        <v>40</v>
      </c>
      <c r="G1205" s="16" t="n">
        <v>7</v>
      </c>
      <c r="H1205" s="17" t="n">
        <v>13</v>
      </c>
      <c r="I1205" s="18" t="n">
        <v>18</v>
      </c>
      <c r="J1205" s="19" t="n">
        <v>19</v>
      </c>
      <c r="K1205" s="20" t="n">
        <v>25</v>
      </c>
      <c r="L1205" s="21" t="n">
        <v>26</v>
      </c>
      <c r="M1205" s="22" t="n">
        <v>6</v>
      </c>
      <c r="N1205" s="15" t="n">
        <f aca="false">SUMPRODUCT(COUNTIF(G1205:L1205,번호조회!$B$4:$B$9))</f>
        <v>0</v>
      </c>
    </row>
    <row r="1206" customFormat="false" ht="16.5" hidden="false" customHeight="true" outlineLevel="0" collapsed="false">
      <c r="E1206" s="1" t="n">
        <f aca="false">$E$13-($F$13-F1206)*7</f>
        <v>37863</v>
      </c>
      <c r="F1206" s="12" t="n">
        <v>39</v>
      </c>
      <c r="G1206" s="16" t="n">
        <v>6</v>
      </c>
      <c r="H1206" s="17" t="n">
        <v>7</v>
      </c>
      <c r="I1206" s="18" t="n">
        <v>13</v>
      </c>
      <c r="J1206" s="19" t="n">
        <v>15</v>
      </c>
      <c r="K1206" s="20" t="n">
        <v>21</v>
      </c>
      <c r="L1206" s="21" t="n">
        <v>43</v>
      </c>
      <c r="M1206" s="22" t="n">
        <v>8</v>
      </c>
      <c r="N1206" s="15" t="n">
        <f aca="false">SUMPRODUCT(COUNTIF(G1206:L1206,번호조회!$B$4:$B$9))</f>
        <v>0</v>
      </c>
    </row>
    <row r="1207" customFormat="false" ht="16.5" hidden="false" customHeight="true" outlineLevel="0" collapsed="false">
      <c r="E1207" s="1" t="n">
        <f aca="false">$E$13-($F$13-F1207)*7</f>
        <v>37856</v>
      </c>
      <c r="F1207" s="12" t="n">
        <v>38</v>
      </c>
      <c r="G1207" s="16" t="n">
        <v>16</v>
      </c>
      <c r="H1207" s="17" t="n">
        <v>17</v>
      </c>
      <c r="I1207" s="18" t="n">
        <v>22</v>
      </c>
      <c r="J1207" s="19" t="n">
        <v>30</v>
      </c>
      <c r="K1207" s="20" t="n">
        <v>37</v>
      </c>
      <c r="L1207" s="21" t="n">
        <v>43</v>
      </c>
      <c r="M1207" s="22" t="n">
        <v>36</v>
      </c>
      <c r="N1207" s="15" t="n">
        <f aca="false">SUMPRODUCT(COUNTIF(G1207:L1207,번호조회!$B$4:$B$9))</f>
        <v>0</v>
      </c>
    </row>
    <row r="1208" customFormat="false" ht="16.5" hidden="false" customHeight="true" outlineLevel="0" collapsed="false">
      <c r="E1208" s="1" t="n">
        <f aca="false">$E$13-($F$13-F1208)*7</f>
        <v>37849</v>
      </c>
      <c r="F1208" s="12" t="n">
        <v>37</v>
      </c>
      <c r="G1208" s="16" t="n">
        <v>7</v>
      </c>
      <c r="H1208" s="17" t="n">
        <v>27</v>
      </c>
      <c r="I1208" s="18" t="n">
        <v>30</v>
      </c>
      <c r="J1208" s="19" t="n">
        <v>33</v>
      </c>
      <c r="K1208" s="20" t="n">
        <v>35</v>
      </c>
      <c r="L1208" s="21" t="n">
        <v>37</v>
      </c>
      <c r="M1208" s="22" t="n">
        <v>42</v>
      </c>
      <c r="N1208" s="15" t="n">
        <f aca="false">SUMPRODUCT(COUNTIF(G1208:L1208,번호조회!$B$4:$B$9))</f>
        <v>0</v>
      </c>
    </row>
    <row r="1209" customFormat="false" ht="16.5" hidden="false" customHeight="true" outlineLevel="0" collapsed="false">
      <c r="E1209" s="1" t="n">
        <f aca="false">$E$13-($F$13-F1209)*7</f>
        <v>37842</v>
      </c>
      <c r="F1209" s="12" t="n">
        <v>36</v>
      </c>
      <c r="G1209" s="16" t="n">
        <v>1</v>
      </c>
      <c r="H1209" s="17" t="n">
        <v>10</v>
      </c>
      <c r="I1209" s="18" t="n">
        <v>23</v>
      </c>
      <c r="J1209" s="19" t="n">
        <v>26</v>
      </c>
      <c r="K1209" s="20" t="n">
        <v>28</v>
      </c>
      <c r="L1209" s="21" t="n">
        <v>40</v>
      </c>
      <c r="M1209" s="22" t="n">
        <v>31</v>
      </c>
      <c r="N1209" s="15" t="n">
        <f aca="false">SUMPRODUCT(COUNTIF(G1209:L1209,번호조회!$B$4:$B$9))</f>
        <v>0</v>
      </c>
    </row>
    <row r="1210" customFormat="false" ht="16.5" hidden="false" customHeight="true" outlineLevel="0" collapsed="false">
      <c r="E1210" s="1" t="n">
        <f aca="false">$E$13-($F$13-F1210)*7</f>
        <v>37835</v>
      </c>
      <c r="F1210" s="12" t="n">
        <v>35</v>
      </c>
      <c r="G1210" s="16" t="n">
        <v>2</v>
      </c>
      <c r="H1210" s="17" t="n">
        <v>3</v>
      </c>
      <c r="I1210" s="18" t="n">
        <v>11</v>
      </c>
      <c r="J1210" s="19" t="n">
        <v>26</v>
      </c>
      <c r="K1210" s="20" t="n">
        <v>37</v>
      </c>
      <c r="L1210" s="21" t="n">
        <v>43</v>
      </c>
      <c r="M1210" s="22" t="n">
        <v>39</v>
      </c>
      <c r="N1210" s="15" t="n">
        <f aca="false">SUMPRODUCT(COUNTIF(G1210:L1210,번호조회!$B$4:$B$9))</f>
        <v>0</v>
      </c>
    </row>
    <row r="1211" customFormat="false" ht="16.5" hidden="false" customHeight="true" outlineLevel="0" collapsed="false">
      <c r="E1211" s="1" t="n">
        <f aca="false">$E$13-($F$13-F1211)*7</f>
        <v>37828</v>
      </c>
      <c r="F1211" s="12" t="n">
        <v>34</v>
      </c>
      <c r="G1211" s="16" t="n">
        <v>9</v>
      </c>
      <c r="H1211" s="17" t="n">
        <v>26</v>
      </c>
      <c r="I1211" s="18" t="n">
        <v>35</v>
      </c>
      <c r="J1211" s="19" t="n">
        <v>37</v>
      </c>
      <c r="K1211" s="20" t="n">
        <v>40</v>
      </c>
      <c r="L1211" s="21" t="n">
        <v>42</v>
      </c>
      <c r="M1211" s="22" t="n">
        <v>2</v>
      </c>
      <c r="N1211" s="15" t="n">
        <f aca="false">SUMPRODUCT(COUNTIF(G1211:L1211,번호조회!$B$4:$B$9))</f>
        <v>0</v>
      </c>
    </row>
    <row r="1212" customFormat="false" ht="16.5" hidden="false" customHeight="true" outlineLevel="0" collapsed="false">
      <c r="E1212" s="1" t="n">
        <f aca="false">$E$13-($F$13-F1212)*7</f>
        <v>37821</v>
      </c>
      <c r="F1212" s="12" t="n">
        <v>33</v>
      </c>
      <c r="G1212" s="16" t="n">
        <v>4</v>
      </c>
      <c r="H1212" s="17" t="n">
        <v>7</v>
      </c>
      <c r="I1212" s="18" t="n">
        <v>32</v>
      </c>
      <c r="J1212" s="19" t="n">
        <v>33</v>
      </c>
      <c r="K1212" s="20" t="n">
        <v>40</v>
      </c>
      <c r="L1212" s="21" t="n">
        <v>41</v>
      </c>
      <c r="M1212" s="22" t="n">
        <v>9</v>
      </c>
      <c r="N1212" s="15" t="n">
        <f aca="false">SUMPRODUCT(COUNTIF(G1212:L1212,번호조회!$B$4:$B$9))</f>
        <v>0</v>
      </c>
    </row>
    <row r="1213" customFormat="false" ht="16.5" hidden="false" customHeight="true" outlineLevel="0" collapsed="false">
      <c r="E1213" s="1" t="n">
        <f aca="false">$E$13-($F$13-F1213)*7</f>
        <v>37814</v>
      </c>
      <c r="F1213" s="12" t="n">
        <v>32</v>
      </c>
      <c r="G1213" s="16" t="n">
        <v>6</v>
      </c>
      <c r="H1213" s="17" t="n">
        <v>14</v>
      </c>
      <c r="I1213" s="18" t="n">
        <v>19</v>
      </c>
      <c r="J1213" s="19" t="n">
        <v>25</v>
      </c>
      <c r="K1213" s="20" t="n">
        <v>34</v>
      </c>
      <c r="L1213" s="21" t="n">
        <v>44</v>
      </c>
      <c r="M1213" s="22" t="n">
        <v>11</v>
      </c>
      <c r="N1213" s="15" t="n">
        <f aca="false">SUMPRODUCT(COUNTIF(G1213:L1213,번호조회!$B$4:$B$9))</f>
        <v>0</v>
      </c>
    </row>
    <row r="1214" customFormat="false" ht="16.5" hidden="false" customHeight="true" outlineLevel="0" collapsed="false">
      <c r="E1214" s="1" t="n">
        <f aca="false">$E$13-($F$13-F1214)*7</f>
        <v>37807</v>
      </c>
      <c r="F1214" s="12" t="n">
        <v>31</v>
      </c>
      <c r="G1214" s="16" t="n">
        <v>7</v>
      </c>
      <c r="H1214" s="17" t="n">
        <v>9</v>
      </c>
      <c r="I1214" s="18" t="n">
        <v>18</v>
      </c>
      <c r="J1214" s="19" t="n">
        <v>23</v>
      </c>
      <c r="K1214" s="20" t="n">
        <v>28</v>
      </c>
      <c r="L1214" s="21" t="n">
        <v>35</v>
      </c>
      <c r="M1214" s="22" t="n">
        <v>32</v>
      </c>
      <c r="N1214" s="15" t="n">
        <f aca="false">SUMPRODUCT(COUNTIF(G1214:L1214,번호조회!$B$4:$B$9))</f>
        <v>0</v>
      </c>
    </row>
    <row r="1215" customFormat="false" ht="16.5" hidden="false" customHeight="true" outlineLevel="0" collapsed="false">
      <c r="E1215" s="1" t="n">
        <f aca="false">$E$13-($F$13-F1215)*7</f>
        <v>37800</v>
      </c>
      <c r="F1215" s="12" t="n">
        <v>30</v>
      </c>
      <c r="G1215" s="16" t="n">
        <v>8</v>
      </c>
      <c r="H1215" s="17" t="n">
        <v>17</v>
      </c>
      <c r="I1215" s="18" t="n">
        <v>20</v>
      </c>
      <c r="J1215" s="19" t="n">
        <v>35</v>
      </c>
      <c r="K1215" s="20" t="n">
        <v>36</v>
      </c>
      <c r="L1215" s="21" t="n">
        <v>44</v>
      </c>
      <c r="M1215" s="22" t="n">
        <v>4</v>
      </c>
      <c r="N1215" s="15" t="n">
        <f aca="false">SUMPRODUCT(COUNTIF(G1215:L1215,번호조회!$B$4:$B$9))</f>
        <v>0</v>
      </c>
    </row>
    <row r="1216" customFormat="false" ht="16.5" hidden="false" customHeight="true" outlineLevel="0" collapsed="false">
      <c r="E1216" s="1" t="n">
        <f aca="false">$E$13-($F$13-F1216)*7</f>
        <v>37793</v>
      </c>
      <c r="F1216" s="12" t="n">
        <v>29</v>
      </c>
      <c r="G1216" s="16" t="n">
        <v>1</v>
      </c>
      <c r="H1216" s="17" t="n">
        <v>5</v>
      </c>
      <c r="I1216" s="18" t="n">
        <v>13</v>
      </c>
      <c r="J1216" s="19" t="n">
        <v>34</v>
      </c>
      <c r="K1216" s="20" t="n">
        <v>39</v>
      </c>
      <c r="L1216" s="21" t="n">
        <v>40</v>
      </c>
      <c r="M1216" s="22" t="n">
        <v>11</v>
      </c>
      <c r="N1216" s="15" t="n">
        <f aca="false">SUMPRODUCT(COUNTIF(G1216:L1216,번호조회!$B$4:$B$9))</f>
        <v>0</v>
      </c>
    </row>
    <row r="1217" customFormat="false" ht="16.5" hidden="false" customHeight="true" outlineLevel="0" collapsed="false">
      <c r="E1217" s="1" t="n">
        <f aca="false">$E$13-($F$13-F1217)*7</f>
        <v>37786</v>
      </c>
      <c r="F1217" s="12" t="n">
        <v>28</v>
      </c>
      <c r="G1217" s="16" t="n">
        <v>9</v>
      </c>
      <c r="H1217" s="17" t="n">
        <v>18</v>
      </c>
      <c r="I1217" s="18" t="n">
        <v>23</v>
      </c>
      <c r="J1217" s="19" t="n">
        <v>25</v>
      </c>
      <c r="K1217" s="20" t="n">
        <v>35</v>
      </c>
      <c r="L1217" s="21" t="n">
        <v>37</v>
      </c>
      <c r="M1217" s="22" t="n">
        <v>1</v>
      </c>
      <c r="N1217" s="15" t="n">
        <f aca="false">SUMPRODUCT(COUNTIF(G1217:L1217,번호조회!$B$4:$B$9))</f>
        <v>0</v>
      </c>
    </row>
    <row r="1218" customFormat="false" ht="16.5" hidden="false" customHeight="true" outlineLevel="0" collapsed="false">
      <c r="E1218" s="1" t="n">
        <f aca="false">$E$13-($F$13-F1218)*7</f>
        <v>37779</v>
      </c>
      <c r="F1218" s="12" t="n">
        <v>27</v>
      </c>
      <c r="G1218" s="16" t="n">
        <v>1</v>
      </c>
      <c r="H1218" s="17" t="n">
        <v>20</v>
      </c>
      <c r="I1218" s="18" t="n">
        <v>26</v>
      </c>
      <c r="J1218" s="19" t="n">
        <v>28</v>
      </c>
      <c r="K1218" s="20" t="n">
        <v>37</v>
      </c>
      <c r="L1218" s="21" t="n">
        <v>43</v>
      </c>
      <c r="M1218" s="22" t="n">
        <v>27</v>
      </c>
      <c r="N1218" s="15" t="n">
        <f aca="false">SUMPRODUCT(COUNTIF(G1218:L1218,번호조회!$B$4:$B$9))</f>
        <v>0</v>
      </c>
    </row>
    <row r="1219" customFormat="false" ht="16.5" hidden="false" customHeight="true" outlineLevel="0" collapsed="false">
      <c r="E1219" s="1" t="n">
        <f aca="false">$E$13-($F$13-F1219)*7</f>
        <v>37772</v>
      </c>
      <c r="F1219" s="12" t="n">
        <v>26</v>
      </c>
      <c r="G1219" s="16" t="n">
        <v>4</v>
      </c>
      <c r="H1219" s="17" t="n">
        <v>5</v>
      </c>
      <c r="I1219" s="18" t="n">
        <v>7</v>
      </c>
      <c r="J1219" s="19" t="n">
        <v>18</v>
      </c>
      <c r="K1219" s="20" t="n">
        <v>20</v>
      </c>
      <c r="L1219" s="21" t="n">
        <v>25</v>
      </c>
      <c r="M1219" s="22" t="n">
        <v>31</v>
      </c>
      <c r="N1219" s="15" t="n">
        <f aca="false">SUMPRODUCT(COUNTIF(G1219:L1219,번호조회!$B$4:$B$9))</f>
        <v>0</v>
      </c>
    </row>
    <row r="1220" customFormat="false" ht="16.5" hidden="false" customHeight="true" outlineLevel="0" collapsed="false">
      <c r="E1220" s="1" t="n">
        <f aca="false">$E$13-($F$13-F1220)*7</f>
        <v>37765</v>
      </c>
      <c r="F1220" s="12" t="n">
        <v>25</v>
      </c>
      <c r="G1220" s="16" t="n">
        <v>2</v>
      </c>
      <c r="H1220" s="17" t="n">
        <v>4</v>
      </c>
      <c r="I1220" s="18" t="n">
        <v>21</v>
      </c>
      <c r="J1220" s="19" t="n">
        <v>26</v>
      </c>
      <c r="K1220" s="20" t="n">
        <v>43</v>
      </c>
      <c r="L1220" s="21" t="n">
        <v>44</v>
      </c>
      <c r="M1220" s="22" t="n">
        <v>16</v>
      </c>
      <c r="N1220" s="15" t="n">
        <f aca="false">SUMPRODUCT(COUNTIF(G1220:L1220,번호조회!$B$4:$B$9))</f>
        <v>0</v>
      </c>
    </row>
    <row r="1221" customFormat="false" ht="16.5" hidden="false" customHeight="true" outlineLevel="0" collapsed="false">
      <c r="E1221" s="1" t="n">
        <f aca="false">$E$13-($F$13-F1221)*7</f>
        <v>37758</v>
      </c>
      <c r="F1221" s="12" t="n">
        <v>24</v>
      </c>
      <c r="G1221" s="16" t="n">
        <v>7</v>
      </c>
      <c r="H1221" s="17" t="n">
        <v>8</v>
      </c>
      <c r="I1221" s="18" t="n">
        <v>27</v>
      </c>
      <c r="J1221" s="19" t="n">
        <v>29</v>
      </c>
      <c r="K1221" s="20" t="n">
        <v>36</v>
      </c>
      <c r="L1221" s="21" t="n">
        <v>43</v>
      </c>
      <c r="M1221" s="22" t="n">
        <v>6</v>
      </c>
      <c r="N1221" s="15" t="n">
        <f aca="false">SUMPRODUCT(COUNTIF(G1221:L1221,번호조회!$B$4:$B$9))</f>
        <v>0</v>
      </c>
    </row>
    <row r="1222" customFormat="false" ht="16.5" hidden="false" customHeight="true" outlineLevel="0" collapsed="false">
      <c r="E1222" s="1" t="n">
        <f aca="false">$E$13-($F$13-F1222)*7</f>
        <v>37751</v>
      </c>
      <c r="F1222" s="12" t="n">
        <v>23</v>
      </c>
      <c r="G1222" s="16" t="n">
        <v>5</v>
      </c>
      <c r="H1222" s="17" t="n">
        <v>13</v>
      </c>
      <c r="I1222" s="18" t="n">
        <v>17</v>
      </c>
      <c r="J1222" s="19" t="n">
        <v>18</v>
      </c>
      <c r="K1222" s="20" t="n">
        <v>33</v>
      </c>
      <c r="L1222" s="21" t="n">
        <v>42</v>
      </c>
      <c r="M1222" s="22" t="n">
        <v>44</v>
      </c>
      <c r="N1222" s="15" t="n">
        <f aca="false">SUMPRODUCT(COUNTIF(G1222:L1222,번호조회!$B$4:$B$9))</f>
        <v>0</v>
      </c>
    </row>
    <row r="1223" customFormat="false" ht="16.5" hidden="false" customHeight="true" outlineLevel="0" collapsed="false">
      <c r="E1223" s="1" t="n">
        <f aca="false">$E$13-($F$13-F1223)*7</f>
        <v>37744</v>
      </c>
      <c r="F1223" s="12" t="n">
        <v>22</v>
      </c>
      <c r="G1223" s="16" t="n">
        <v>4</v>
      </c>
      <c r="H1223" s="17" t="n">
        <v>5</v>
      </c>
      <c r="I1223" s="18" t="n">
        <v>6</v>
      </c>
      <c r="J1223" s="19" t="n">
        <v>8</v>
      </c>
      <c r="K1223" s="20" t="n">
        <v>17</v>
      </c>
      <c r="L1223" s="21" t="n">
        <v>39</v>
      </c>
      <c r="M1223" s="22" t="n">
        <v>25</v>
      </c>
      <c r="N1223" s="15" t="n">
        <f aca="false">SUMPRODUCT(COUNTIF(G1223:L1223,번호조회!$B$4:$B$9))</f>
        <v>0</v>
      </c>
    </row>
    <row r="1224" customFormat="false" ht="16.5" hidden="false" customHeight="true" outlineLevel="0" collapsed="false">
      <c r="E1224" s="1" t="n">
        <f aca="false">$E$13-($F$13-F1224)*7</f>
        <v>37737</v>
      </c>
      <c r="F1224" s="12" t="n">
        <v>21</v>
      </c>
      <c r="G1224" s="16" t="n">
        <v>6</v>
      </c>
      <c r="H1224" s="17" t="n">
        <v>12</v>
      </c>
      <c r="I1224" s="18" t="n">
        <v>17</v>
      </c>
      <c r="J1224" s="19" t="n">
        <v>18</v>
      </c>
      <c r="K1224" s="20" t="n">
        <v>31</v>
      </c>
      <c r="L1224" s="21" t="n">
        <v>32</v>
      </c>
      <c r="M1224" s="22" t="n">
        <v>21</v>
      </c>
      <c r="N1224" s="15" t="n">
        <f aca="false">SUMPRODUCT(COUNTIF(G1224:L1224,번호조회!$B$4:$B$9))</f>
        <v>0</v>
      </c>
    </row>
    <row r="1225" customFormat="false" ht="16.5" hidden="false" customHeight="true" outlineLevel="0" collapsed="false">
      <c r="E1225" s="1" t="n">
        <f aca="false">$E$13-($F$13-F1225)*7</f>
        <v>37730</v>
      </c>
      <c r="F1225" s="12" t="n">
        <v>20</v>
      </c>
      <c r="G1225" s="16" t="n">
        <v>10</v>
      </c>
      <c r="H1225" s="17" t="n">
        <v>14</v>
      </c>
      <c r="I1225" s="18" t="n">
        <v>18</v>
      </c>
      <c r="J1225" s="19" t="n">
        <v>20</v>
      </c>
      <c r="K1225" s="20" t="n">
        <v>23</v>
      </c>
      <c r="L1225" s="21" t="n">
        <v>30</v>
      </c>
      <c r="M1225" s="22" t="n">
        <v>41</v>
      </c>
      <c r="N1225" s="15" t="n">
        <f aca="false">SUMPRODUCT(COUNTIF(G1225:L1225,번호조회!$B$4:$B$9))</f>
        <v>0</v>
      </c>
    </row>
    <row r="1226" customFormat="false" ht="16.5" hidden="false" customHeight="true" outlineLevel="0" collapsed="false">
      <c r="E1226" s="1" t="n">
        <f aca="false">$E$13-($F$13-F1226)*7</f>
        <v>37723</v>
      </c>
      <c r="F1226" s="12" t="n">
        <v>19</v>
      </c>
      <c r="G1226" s="16" t="n">
        <v>6</v>
      </c>
      <c r="H1226" s="17" t="n">
        <v>30</v>
      </c>
      <c r="I1226" s="18" t="n">
        <v>38</v>
      </c>
      <c r="J1226" s="19" t="n">
        <v>39</v>
      </c>
      <c r="K1226" s="20" t="n">
        <v>40</v>
      </c>
      <c r="L1226" s="21" t="n">
        <v>43</v>
      </c>
      <c r="M1226" s="22" t="n">
        <v>26</v>
      </c>
      <c r="N1226" s="15" t="n">
        <f aca="false">SUMPRODUCT(COUNTIF(G1226:L1226,번호조회!$B$4:$B$9))</f>
        <v>0</v>
      </c>
    </row>
    <row r="1227" customFormat="false" ht="16.5" hidden="false" customHeight="true" outlineLevel="0" collapsed="false">
      <c r="E1227" s="1" t="n">
        <f aca="false">$E$13-($F$13-F1227)*7</f>
        <v>37716</v>
      </c>
      <c r="F1227" s="12" t="n">
        <v>18</v>
      </c>
      <c r="G1227" s="16" t="n">
        <v>3</v>
      </c>
      <c r="H1227" s="17" t="n">
        <v>12</v>
      </c>
      <c r="I1227" s="18" t="n">
        <v>13</v>
      </c>
      <c r="J1227" s="19" t="n">
        <v>19</v>
      </c>
      <c r="K1227" s="20" t="n">
        <v>32</v>
      </c>
      <c r="L1227" s="21" t="n">
        <v>35</v>
      </c>
      <c r="M1227" s="22" t="n">
        <v>29</v>
      </c>
      <c r="N1227" s="15" t="n">
        <f aca="false">SUMPRODUCT(COUNTIF(G1227:L1227,번호조회!$B$4:$B$9))</f>
        <v>0</v>
      </c>
    </row>
    <row r="1228" customFormat="false" ht="16.5" hidden="false" customHeight="true" outlineLevel="0" collapsed="false">
      <c r="E1228" s="1" t="n">
        <f aca="false">$E$13-($F$13-F1228)*7</f>
        <v>37709</v>
      </c>
      <c r="F1228" s="12" t="n">
        <v>17</v>
      </c>
      <c r="G1228" s="16" t="n">
        <v>3</v>
      </c>
      <c r="H1228" s="17" t="n">
        <v>4</v>
      </c>
      <c r="I1228" s="18" t="n">
        <v>9</v>
      </c>
      <c r="J1228" s="19" t="n">
        <v>17</v>
      </c>
      <c r="K1228" s="20" t="n">
        <v>32</v>
      </c>
      <c r="L1228" s="21" t="n">
        <v>37</v>
      </c>
      <c r="M1228" s="22" t="n">
        <v>1</v>
      </c>
      <c r="N1228" s="15" t="n">
        <f aca="false">SUMPRODUCT(COUNTIF(G1228:L1228,번호조회!$B$4:$B$9))</f>
        <v>0</v>
      </c>
    </row>
    <row r="1229" customFormat="false" ht="16.5" hidden="false" customHeight="true" outlineLevel="0" collapsed="false">
      <c r="E1229" s="1" t="n">
        <f aca="false">$E$13-($F$13-F1229)*7</f>
        <v>37702</v>
      </c>
      <c r="F1229" s="12" t="n">
        <v>16</v>
      </c>
      <c r="G1229" s="16" t="n">
        <v>6</v>
      </c>
      <c r="H1229" s="17" t="n">
        <v>7</v>
      </c>
      <c r="I1229" s="18" t="n">
        <v>24</v>
      </c>
      <c r="J1229" s="19" t="n">
        <v>37</v>
      </c>
      <c r="K1229" s="20" t="n">
        <v>38</v>
      </c>
      <c r="L1229" s="21" t="n">
        <v>40</v>
      </c>
      <c r="M1229" s="22" t="n">
        <v>33</v>
      </c>
      <c r="N1229" s="15" t="n">
        <f aca="false">SUMPRODUCT(COUNTIF(G1229:L1229,번호조회!$B$4:$B$9))</f>
        <v>0</v>
      </c>
    </row>
    <row r="1230" customFormat="false" ht="16.5" hidden="false" customHeight="true" outlineLevel="0" collapsed="false">
      <c r="E1230" s="1" t="n">
        <f aca="false">$E$13-($F$13-F1230)*7</f>
        <v>37695</v>
      </c>
      <c r="F1230" s="12" t="n">
        <v>15</v>
      </c>
      <c r="G1230" s="16" t="n">
        <v>3</v>
      </c>
      <c r="H1230" s="17" t="n">
        <v>4</v>
      </c>
      <c r="I1230" s="18" t="n">
        <v>16</v>
      </c>
      <c r="J1230" s="19" t="n">
        <v>30</v>
      </c>
      <c r="K1230" s="20" t="n">
        <v>31</v>
      </c>
      <c r="L1230" s="21" t="n">
        <v>37</v>
      </c>
      <c r="M1230" s="22" t="n">
        <v>13</v>
      </c>
      <c r="N1230" s="15" t="n">
        <f aca="false">SUMPRODUCT(COUNTIF(G1230:L1230,번호조회!$B$4:$B$9))</f>
        <v>0</v>
      </c>
    </row>
    <row r="1231" customFormat="false" ht="16.5" hidden="false" customHeight="true" outlineLevel="0" collapsed="false">
      <c r="E1231" s="1" t="n">
        <f aca="false">$E$13-($F$13-F1231)*7</f>
        <v>37688</v>
      </c>
      <c r="F1231" s="12" t="n">
        <v>14</v>
      </c>
      <c r="G1231" s="16" t="n">
        <v>2</v>
      </c>
      <c r="H1231" s="17" t="n">
        <v>6</v>
      </c>
      <c r="I1231" s="18" t="n">
        <v>12</v>
      </c>
      <c r="J1231" s="19" t="n">
        <v>31</v>
      </c>
      <c r="K1231" s="20" t="n">
        <v>33</v>
      </c>
      <c r="L1231" s="21" t="n">
        <v>40</v>
      </c>
      <c r="M1231" s="22" t="n">
        <v>15</v>
      </c>
      <c r="N1231" s="15" t="n">
        <f aca="false">SUMPRODUCT(COUNTIF(G1231:L1231,번호조회!$B$4:$B$9))</f>
        <v>0</v>
      </c>
    </row>
    <row r="1232" customFormat="false" ht="16.5" hidden="false" customHeight="true" outlineLevel="0" collapsed="false">
      <c r="E1232" s="1" t="n">
        <f aca="false">$E$13-($F$13-F1232)*7</f>
        <v>37681</v>
      </c>
      <c r="F1232" s="12" t="n">
        <v>13</v>
      </c>
      <c r="G1232" s="3" t="n">
        <v>22</v>
      </c>
      <c r="H1232" s="4" t="n">
        <v>23</v>
      </c>
      <c r="I1232" s="5" t="n">
        <v>25</v>
      </c>
      <c r="J1232" s="6" t="n">
        <v>37</v>
      </c>
      <c r="K1232" s="7" t="n">
        <v>38</v>
      </c>
      <c r="L1232" s="8" t="n">
        <v>42</v>
      </c>
      <c r="M1232" s="12" t="n">
        <v>26</v>
      </c>
      <c r="N1232" s="15" t="n">
        <f aca="false">SUMPRODUCT(COUNTIF(G1232:L1232,번호조회!$B$4:$B$9))</f>
        <v>0</v>
      </c>
    </row>
    <row r="1233" customFormat="false" ht="16.5" hidden="false" customHeight="true" outlineLevel="0" collapsed="false">
      <c r="E1233" s="1" t="n">
        <f aca="false">$E$13-($F$13-F1233)*7</f>
        <v>37674</v>
      </c>
      <c r="F1233" s="12" t="n">
        <v>12</v>
      </c>
      <c r="G1233" s="3" t="n">
        <v>2</v>
      </c>
      <c r="H1233" s="4" t="n">
        <v>11</v>
      </c>
      <c r="I1233" s="5" t="n">
        <v>21</v>
      </c>
      <c r="J1233" s="6" t="n">
        <v>25</v>
      </c>
      <c r="K1233" s="7" t="n">
        <v>39</v>
      </c>
      <c r="L1233" s="8" t="n">
        <v>45</v>
      </c>
      <c r="M1233" s="12" t="n">
        <v>44</v>
      </c>
      <c r="N1233" s="15" t="n">
        <f aca="false">SUMPRODUCT(COUNTIF(G1233:L1233,번호조회!$B$4:$B$9))</f>
        <v>0</v>
      </c>
    </row>
    <row r="1234" customFormat="false" ht="16.5" hidden="false" customHeight="true" outlineLevel="0" collapsed="false">
      <c r="E1234" s="1" t="n">
        <f aca="false">$E$13-($F$13-F1234)*7</f>
        <v>37667</v>
      </c>
      <c r="F1234" s="12" t="n">
        <v>11</v>
      </c>
      <c r="G1234" s="3" t="n">
        <v>1</v>
      </c>
      <c r="H1234" s="4" t="n">
        <v>7</v>
      </c>
      <c r="I1234" s="5" t="n">
        <v>36</v>
      </c>
      <c r="J1234" s="6" t="n">
        <v>37</v>
      </c>
      <c r="K1234" s="7" t="n">
        <v>41</v>
      </c>
      <c r="L1234" s="8" t="n">
        <v>42</v>
      </c>
      <c r="M1234" s="12" t="n">
        <v>14</v>
      </c>
      <c r="N1234" s="15" t="n">
        <f aca="false">SUMPRODUCT(COUNTIF(G1234:L1234,번호조회!$B$4:$B$9))</f>
        <v>0</v>
      </c>
    </row>
    <row r="1235" customFormat="false" ht="16.5" hidden="false" customHeight="true" outlineLevel="0" collapsed="false">
      <c r="E1235" s="1" t="n">
        <f aca="false">$E$13-($F$13-F1235)*7</f>
        <v>37660</v>
      </c>
      <c r="F1235" s="12" t="n">
        <v>10</v>
      </c>
      <c r="G1235" s="3" t="n">
        <v>9</v>
      </c>
      <c r="H1235" s="4" t="n">
        <v>25</v>
      </c>
      <c r="I1235" s="5" t="n">
        <v>30</v>
      </c>
      <c r="J1235" s="6" t="n">
        <v>33</v>
      </c>
      <c r="K1235" s="7" t="n">
        <v>41</v>
      </c>
      <c r="L1235" s="8" t="n">
        <v>44</v>
      </c>
      <c r="M1235" s="12" t="n">
        <v>6</v>
      </c>
      <c r="N1235" s="15" t="n">
        <f aca="false">SUMPRODUCT(COUNTIF(G1235:L1235,번호조회!$B$4:$B$9))</f>
        <v>0</v>
      </c>
    </row>
    <row r="1236" customFormat="false" ht="16.5" hidden="false" customHeight="true" outlineLevel="0" collapsed="false">
      <c r="E1236" s="1" t="n">
        <f aca="false">$E$13-($F$13-F1236)*7</f>
        <v>37653</v>
      </c>
      <c r="F1236" s="12" t="n">
        <v>9</v>
      </c>
      <c r="G1236" s="3" t="n">
        <v>2</v>
      </c>
      <c r="H1236" s="4" t="n">
        <v>4</v>
      </c>
      <c r="I1236" s="5" t="n">
        <v>16</v>
      </c>
      <c r="J1236" s="6" t="n">
        <v>17</v>
      </c>
      <c r="K1236" s="7" t="n">
        <v>36</v>
      </c>
      <c r="L1236" s="8" t="n">
        <v>39</v>
      </c>
      <c r="M1236" s="12" t="n">
        <v>14</v>
      </c>
      <c r="N1236" s="15" t="n">
        <f aca="false">SUMPRODUCT(COUNTIF(G1236:L1236,번호조회!$B$4:$B$9))</f>
        <v>0</v>
      </c>
    </row>
    <row r="1237" customFormat="false" ht="16.5" hidden="false" customHeight="true" outlineLevel="0" collapsed="false">
      <c r="E1237" s="1" t="n">
        <f aca="false">$E$13-($F$13-F1237)*7</f>
        <v>37646</v>
      </c>
      <c r="F1237" s="12" t="n">
        <v>8</v>
      </c>
      <c r="G1237" s="3" t="n">
        <v>8</v>
      </c>
      <c r="H1237" s="4" t="n">
        <v>19</v>
      </c>
      <c r="I1237" s="5" t="n">
        <v>25</v>
      </c>
      <c r="J1237" s="6" t="n">
        <v>34</v>
      </c>
      <c r="K1237" s="7" t="n">
        <v>37</v>
      </c>
      <c r="L1237" s="8" t="n">
        <v>39</v>
      </c>
      <c r="M1237" s="12" t="n">
        <v>9</v>
      </c>
      <c r="N1237" s="15" t="n">
        <f aca="false">SUMPRODUCT(COUNTIF(G1237:L1237,번호조회!$B$4:$B$9))</f>
        <v>0</v>
      </c>
    </row>
    <row r="1238" customFormat="false" ht="16.5" hidden="false" customHeight="true" outlineLevel="0" collapsed="false">
      <c r="E1238" s="1" t="n">
        <f aca="false">$E$13-($F$13-F1238)*7</f>
        <v>37639</v>
      </c>
      <c r="F1238" s="12" t="n">
        <v>7</v>
      </c>
      <c r="G1238" s="3" t="n">
        <v>2</v>
      </c>
      <c r="H1238" s="4" t="n">
        <v>9</v>
      </c>
      <c r="I1238" s="5" t="n">
        <v>16</v>
      </c>
      <c r="J1238" s="6" t="n">
        <v>25</v>
      </c>
      <c r="K1238" s="7" t="n">
        <v>26</v>
      </c>
      <c r="L1238" s="8" t="n">
        <v>40</v>
      </c>
      <c r="M1238" s="12" t="n">
        <v>42</v>
      </c>
      <c r="N1238" s="15" t="n">
        <f aca="false">SUMPRODUCT(COUNTIF(G1238:L1238,번호조회!$B$4:$B$9))</f>
        <v>0</v>
      </c>
    </row>
    <row r="1239" customFormat="false" ht="16.5" hidden="false" customHeight="true" outlineLevel="0" collapsed="false">
      <c r="E1239" s="1" t="n">
        <f aca="false">$E$13-($F$13-F1239)*7</f>
        <v>37632</v>
      </c>
      <c r="F1239" s="12" t="n">
        <v>6</v>
      </c>
      <c r="G1239" s="3" t="n">
        <v>14</v>
      </c>
      <c r="H1239" s="4" t="n">
        <v>15</v>
      </c>
      <c r="I1239" s="5" t="n">
        <v>26</v>
      </c>
      <c r="J1239" s="6" t="n">
        <v>27</v>
      </c>
      <c r="K1239" s="7" t="n">
        <v>40</v>
      </c>
      <c r="L1239" s="8" t="n">
        <v>42</v>
      </c>
      <c r="M1239" s="12" t="n">
        <v>34</v>
      </c>
      <c r="N1239" s="15" t="n">
        <f aca="false">SUMPRODUCT(COUNTIF(G1239:L1239,번호조회!$B$4:$B$9))</f>
        <v>0</v>
      </c>
    </row>
    <row r="1240" customFormat="false" ht="16.5" hidden="false" customHeight="true" outlineLevel="0" collapsed="false">
      <c r="E1240" s="1" t="n">
        <f aca="false">$E$13-($F$13-F1240)*7</f>
        <v>37625</v>
      </c>
      <c r="F1240" s="12" t="n">
        <v>5</v>
      </c>
      <c r="G1240" s="3" t="n">
        <v>16</v>
      </c>
      <c r="H1240" s="4" t="n">
        <v>24</v>
      </c>
      <c r="I1240" s="5" t="n">
        <v>29</v>
      </c>
      <c r="J1240" s="6" t="n">
        <v>40</v>
      </c>
      <c r="K1240" s="7" t="n">
        <v>41</v>
      </c>
      <c r="L1240" s="8" t="n">
        <v>42</v>
      </c>
      <c r="M1240" s="12" t="n">
        <v>3</v>
      </c>
      <c r="N1240" s="15" t="n">
        <f aca="false">SUMPRODUCT(COUNTIF(G1240:L1240,번호조회!$B$4:$B$9))</f>
        <v>0</v>
      </c>
    </row>
    <row r="1241" customFormat="false" ht="16.5" hidden="false" customHeight="true" outlineLevel="0" collapsed="false">
      <c r="E1241" s="1" t="n">
        <f aca="false">$E$13-($F$13-F1241)*7</f>
        <v>37618</v>
      </c>
      <c r="F1241" s="12" t="n">
        <v>4</v>
      </c>
      <c r="G1241" s="3" t="n">
        <v>14</v>
      </c>
      <c r="H1241" s="4" t="n">
        <v>27</v>
      </c>
      <c r="I1241" s="5" t="n">
        <v>30</v>
      </c>
      <c r="J1241" s="6" t="n">
        <v>31</v>
      </c>
      <c r="K1241" s="7" t="n">
        <v>40</v>
      </c>
      <c r="L1241" s="8" t="n">
        <v>42</v>
      </c>
      <c r="M1241" s="12" t="n">
        <v>2</v>
      </c>
      <c r="N1241" s="15" t="n">
        <f aca="false">SUMPRODUCT(COUNTIF(G1241:L1241,번호조회!$B$4:$B$9))</f>
        <v>0</v>
      </c>
    </row>
    <row r="1242" customFormat="false" ht="16.5" hidden="false" customHeight="true" outlineLevel="0" collapsed="false">
      <c r="E1242" s="1" t="n">
        <f aca="false">$E$13-($F$13-F1242)*7</f>
        <v>37611</v>
      </c>
      <c r="F1242" s="12" t="n">
        <v>3</v>
      </c>
      <c r="G1242" s="3" t="n">
        <v>11</v>
      </c>
      <c r="H1242" s="4" t="n">
        <v>16</v>
      </c>
      <c r="I1242" s="5" t="n">
        <v>19</v>
      </c>
      <c r="J1242" s="6" t="n">
        <v>21</v>
      </c>
      <c r="K1242" s="7" t="n">
        <v>27</v>
      </c>
      <c r="L1242" s="8" t="n">
        <v>31</v>
      </c>
      <c r="M1242" s="12" t="n">
        <v>30</v>
      </c>
      <c r="N1242" s="15" t="n">
        <f aca="false">SUMPRODUCT(COUNTIF(G1242:L1242,번호조회!$B$4:$B$9))</f>
        <v>0</v>
      </c>
    </row>
    <row r="1243" customFormat="false" ht="16.5" hidden="false" customHeight="true" outlineLevel="0" collapsed="false">
      <c r="E1243" s="1" t="n">
        <f aca="false">$E$13-($F$13-F1243)*7</f>
        <v>37604</v>
      </c>
      <c r="F1243" s="12" t="n">
        <v>2</v>
      </c>
      <c r="G1243" s="3" t="n">
        <v>9</v>
      </c>
      <c r="H1243" s="4" t="n">
        <v>13</v>
      </c>
      <c r="I1243" s="5" t="n">
        <v>21</v>
      </c>
      <c r="J1243" s="6" t="n">
        <v>25</v>
      </c>
      <c r="K1243" s="7" t="n">
        <v>32</v>
      </c>
      <c r="L1243" s="8" t="n">
        <v>42</v>
      </c>
      <c r="M1243" s="12" t="n">
        <v>2</v>
      </c>
      <c r="N1243" s="15" t="n">
        <f aca="false">SUMPRODUCT(COUNTIF(G1243:L1243,번호조회!$B$4:$B$9))</f>
        <v>0</v>
      </c>
    </row>
    <row r="1244" customFormat="false" ht="16.5" hidden="false" customHeight="true" outlineLevel="0" collapsed="false">
      <c r="E1244" s="1" t="n">
        <f aca="false">$E$13-($F$13-F1244)*7</f>
        <v>37597</v>
      </c>
      <c r="F1244" s="12" t="n">
        <v>1</v>
      </c>
      <c r="G1244" s="3" t="n">
        <v>10</v>
      </c>
      <c r="H1244" s="4" t="n">
        <v>23</v>
      </c>
      <c r="I1244" s="5" t="n">
        <v>29</v>
      </c>
      <c r="J1244" s="6" t="n">
        <v>33</v>
      </c>
      <c r="K1244" s="7" t="n">
        <v>37</v>
      </c>
      <c r="L1244" s="8" t="n">
        <v>40</v>
      </c>
      <c r="M1244" s="12" t="n">
        <v>16</v>
      </c>
      <c r="N1244" s="15" t="n">
        <f aca="false">SUMPRODUCT(COUNTIF(G1244:L1244,번호조회!$B$4:$B$9))</f>
        <v>0</v>
      </c>
    </row>
  </sheetData>
  <mergeCells count="1">
    <mergeCell ref="G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8.56640625" defaultRowHeight="16.5" zeroHeight="false" outlineLevelRow="0" outlineLevelCol="0"/>
  <cols>
    <col collapsed="false" customWidth="true" hidden="false" outlineLevel="0" max="1" min="1" style="2" width="8"/>
    <col collapsed="false" customWidth="true" hidden="false" outlineLevel="0" max="2" min="2" style="2" width="12"/>
    <col collapsed="false" customWidth="true" hidden="false" outlineLevel="0" max="4" min="3" style="2" width="20"/>
    <col collapsed="false" customWidth="true" hidden="false" outlineLevel="0" max="7" min="7" style="2" width="17.88"/>
    <col collapsed="false" customWidth="true" hidden="false" outlineLevel="0" max="11" min="11" style="2" width="17.88"/>
    <col collapsed="false" customWidth="true" hidden="false" outlineLevel="0" max="15" min="14" style="2" width="20.68"/>
  </cols>
  <sheetData>
    <row r="1" customFormat="false" ht="17.25" hidden="false" customHeight="true" outlineLevel="0" collapsed="false">
      <c r="A1" s="23" t="s">
        <v>5</v>
      </c>
    </row>
    <row r="3" customFormat="false" ht="15" hidden="false" customHeight="true" outlineLevel="0" collapsed="false">
      <c r="A3" s="24" t="s">
        <v>6</v>
      </c>
      <c r="F3" s="24" t="s">
        <v>7</v>
      </c>
    </row>
    <row r="4" customFormat="false" ht="15" hidden="false" customHeight="true" outlineLevel="0" collapsed="false">
      <c r="A4" s="25" t="s">
        <v>2</v>
      </c>
      <c r="B4" s="25" t="s">
        <v>8</v>
      </c>
      <c r="C4" s="25" t="s">
        <v>9</v>
      </c>
      <c r="D4" s="25" t="s">
        <v>10</v>
      </c>
      <c r="F4" s="25" t="s">
        <v>11</v>
      </c>
      <c r="G4" s="25" t="s">
        <v>12</v>
      </c>
      <c r="H4" s="25" t="s">
        <v>8</v>
      </c>
      <c r="J4" s="25" t="s">
        <v>11</v>
      </c>
      <c r="K4" s="25" t="s">
        <v>13</v>
      </c>
      <c r="L4" s="25" t="s">
        <v>8</v>
      </c>
      <c r="N4" s="25" t="s">
        <v>14</v>
      </c>
      <c r="O4" s="25" t="s">
        <v>15</v>
      </c>
    </row>
    <row r="5" customFormat="false" ht="15" hidden="false" customHeight="true" outlineLevel="0" collapsed="false">
      <c r="A5" s="15" t="n">
        <v>1</v>
      </c>
      <c r="B5" s="15" t="n">
        <f aca="false">COUNTIF(Sheet1!$G$5:$L$1244,A5)</f>
        <v>170</v>
      </c>
      <c r="C5" s="15" t="n">
        <f aca="false">RANK(B5,$B$5:$B$49,0)</f>
        <v>16</v>
      </c>
      <c r="D5" s="15" t="n">
        <f aca="false">RANK(B5,$B$5:$B$49,1)</f>
        <v>27</v>
      </c>
      <c r="F5" s="15" t="n">
        <v>1</v>
      </c>
      <c r="G5" s="15" t="n">
        <f aca="false">INDEX($A$5:$A$49,MATCH(LARGE($N$5:$N$49,F5),$N$5:$N$49,0))</f>
        <v>34</v>
      </c>
      <c r="H5" s="15" t="n">
        <f aca="false">INDEX($B$5:$B$49,MATCH(LARGE($N$5:$N$49,F5),$N$5:$N$49,0))</f>
        <v>186</v>
      </c>
      <c r="J5" s="15" t="n">
        <v>1</v>
      </c>
      <c r="K5" s="15" t="n">
        <f aca="false">INDEX($A$5:$A$49,MATCH(SMALL($O$5:$O$49,J5),$O$5:$O$49,0))</f>
        <v>9</v>
      </c>
      <c r="L5" s="15" t="n">
        <f aca="false">INDEX($B$5:$B$49,MATCH(SMALL($O$5:$O$49,J5),$O$5:$O$49,0))</f>
        <v>136</v>
      </c>
      <c r="N5" s="15" t="n">
        <f aca="false">B5*100-A5</f>
        <v>16999</v>
      </c>
      <c r="O5" s="15" t="n">
        <f aca="false">B5*100+A5</f>
        <v>17001</v>
      </c>
    </row>
    <row r="6" customFormat="false" ht="15" hidden="false" customHeight="true" outlineLevel="0" collapsed="false">
      <c r="A6" s="15" t="n">
        <v>2</v>
      </c>
      <c r="B6" s="15" t="n">
        <f aca="false">COUNTIF(Sheet1!$G$5:$L$1244,A6)</f>
        <v>156</v>
      </c>
      <c r="C6" s="15" t="n">
        <f aca="false">RANK(B6,$B$5:$B$49,0)</f>
        <v>37</v>
      </c>
      <c r="D6" s="15" t="n">
        <f aca="false">RANK(B6,$B$5:$B$49,1)</f>
        <v>8</v>
      </c>
      <c r="F6" s="15" t="n">
        <v>2</v>
      </c>
      <c r="G6" s="15" t="n">
        <f aca="false">INDEX($A$5:$A$49,MATCH(LARGE($N$5:$N$49,F6),$N$5:$N$49,0))</f>
        <v>13</v>
      </c>
      <c r="H6" s="15" t="n">
        <f aca="false">INDEX($B$5:$B$49,MATCH(LARGE($N$5:$N$49,F6),$N$5:$N$49,0))</f>
        <v>182</v>
      </c>
      <c r="J6" s="15" t="n">
        <v>2</v>
      </c>
      <c r="K6" s="15" t="n">
        <f aca="false">INDEX($A$5:$A$49,MATCH(SMALL($O$5:$O$49,J6),$O$5:$O$49,0))</f>
        <v>22</v>
      </c>
      <c r="L6" s="15" t="n">
        <f aca="false">INDEX($B$5:$B$49,MATCH(SMALL($O$5:$O$49,J6),$O$5:$O$49,0))</f>
        <v>146</v>
      </c>
      <c r="N6" s="15" t="n">
        <f aca="false">B6*100-A6</f>
        <v>15598</v>
      </c>
      <c r="O6" s="15" t="n">
        <f aca="false">B6*100+A6</f>
        <v>15602</v>
      </c>
    </row>
    <row r="7" customFormat="false" ht="15" hidden="false" customHeight="true" outlineLevel="0" collapsed="false">
      <c r="A7" s="15" t="n">
        <v>3</v>
      </c>
      <c r="B7" s="15" t="n">
        <f aca="false">COUNTIF(Sheet1!$G$5:$L$1244,A7)</f>
        <v>172</v>
      </c>
      <c r="C7" s="15" t="n">
        <f aca="false">RANK(B7,$B$5:$B$49,0)</f>
        <v>10</v>
      </c>
      <c r="D7" s="15" t="n">
        <f aca="false">RANK(B7,$B$5:$B$49,1)</f>
        <v>33</v>
      </c>
      <c r="F7" s="15" t="n">
        <v>3</v>
      </c>
      <c r="G7" s="15" t="n">
        <f aca="false">INDEX($A$5:$A$49,MATCH(LARGE($N$5:$N$49,F7),$N$5:$N$49,0))</f>
        <v>27</v>
      </c>
      <c r="H7" s="15" t="n">
        <f aca="false">INDEX($B$5:$B$49,MATCH(LARGE($N$5:$N$49,F7),$N$5:$N$49,0))</f>
        <v>181</v>
      </c>
      <c r="J7" s="15" t="n">
        <v>3</v>
      </c>
      <c r="K7" s="15" t="n">
        <f aca="false">INDEX($A$5:$A$49,MATCH(SMALL($O$5:$O$49,J7),$O$5:$O$49,0))</f>
        <v>32</v>
      </c>
      <c r="L7" s="15" t="n">
        <f aca="false">INDEX($B$5:$B$49,MATCH(SMALL($O$5:$O$49,J7),$O$5:$O$49,0))</f>
        <v>146</v>
      </c>
      <c r="N7" s="15" t="n">
        <f aca="false">B7*100-A7</f>
        <v>17197</v>
      </c>
      <c r="O7" s="15" t="n">
        <f aca="false">B7*100+A7</f>
        <v>17203</v>
      </c>
    </row>
    <row r="8" customFormat="false" ht="15" hidden="false" customHeight="true" outlineLevel="0" collapsed="false">
      <c r="A8" s="15" t="n">
        <v>4</v>
      </c>
      <c r="B8" s="15" t="n">
        <f aca="false">COUNTIF(Sheet1!$G$5:$L$1244,A8)</f>
        <v>162</v>
      </c>
      <c r="C8" s="15" t="n">
        <f aca="false">RANK(B8,$B$5:$B$49,0)</f>
        <v>31</v>
      </c>
      <c r="D8" s="15" t="n">
        <f aca="false">RANK(B8,$B$5:$B$49,1)</f>
        <v>14</v>
      </c>
      <c r="F8" s="15" t="n">
        <v>4</v>
      </c>
      <c r="G8" s="15" t="n">
        <f aca="false">INDEX($A$5:$A$49,MATCH(LARGE($N$5:$N$49,F8),$N$5:$N$49,0))</f>
        <v>12</v>
      </c>
      <c r="H8" s="15" t="n">
        <f aca="false">INDEX($B$5:$B$49,MATCH(LARGE($N$5:$N$49,F8),$N$5:$N$49,0))</f>
        <v>180</v>
      </c>
      <c r="J8" s="15" t="n">
        <v>4</v>
      </c>
      <c r="K8" s="15" t="n">
        <f aca="false">INDEX($A$5:$A$49,MATCH(SMALL($O$5:$O$49,J8),$O$5:$O$49,0))</f>
        <v>23</v>
      </c>
      <c r="L8" s="15" t="n">
        <f aca="false">INDEX($B$5:$B$49,MATCH(SMALL($O$5:$O$49,J8),$O$5:$O$49,0))</f>
        <v>148</v>
      </c>
      <c r="N8" s="15" t="n">
        <f aca="false">B8*100-A8</f>
        <v>16196</v>
      </c>
      <c r="O8" s="15" t="n">
        <f aca="false">B8*100+A8</f>
        <v>16204</v>
      </c>
    </row>
    <row r="9" customFormat="false" ht="15" hidden="false" customHeight="true" outlineLevel="0" collapsed="false">
      <c r="A9" s="15" t="n">
        <v>5</v>
      </c>
      <c r="B9" s="15" t="n">
        <f aca="false">COUNTIF(Sheet1!$G$5:$L$1244,A9)</f>
        <v>153</v>
      </c>
      <c r="C9" s="15" t="n">
        <f aca="false">RANK(B9,$B$5:$B$49,0)</f>
        <v>39</v>
      </c>
      <c r="D9" s="15" t="n">
        <f aca="false">RANK(B9,$B$5:$B$49,1)</f>
        <v>6</v>
      </c>
      <c r="F9" s="15" t="n">
        <v>5</v>
      </c>
      <c r="G9" s="15" t="n">
        <f aca="false">INDEX($A$5:$A$49,MATCH(LARGE($N$5:$N$49,F9),$N$5:$N$49,0))</f>
        <v>18</v>
      </c>
      <c r="H9" s="15" t="n">
        <f aca="false">INDEX($B$5:$B$49,MATCH(LARGE($N$5:$N$49,F9),$N$5:$N$49,0))</f>
        <v>178</v>
      </c>
      <c r="J9" s="15" t="n">
        <v>5</v>
      </c>
      <c r="K9" s="15" t="n">
        <f aca="false">INDEX($A$5:$A$49,MATCH(SMALL($O$5:$O$49,J9),$O$5:$O$49,0))</f>
        <v>41</v>
      </c>
      <c r="L9" s="15" t="n">
        <f aca="false">INDEX($B$5:$B$49,MATCH(SMALL($O$5:$O$49,J9),$O$5:$O$49,0))</f>
        <v>150</v>
      </c>
      <c r="N9" s="15" t="n">
        <f aca="false">B9*100-A9</f>
        <v>15295</v>
      </c>
      <c r="O9" s="15" t="n">
        <f aca="false">B9*100+A9</f>
        <v>15305</v>
      </c>
    </row>
    <row r="10" customFormat="false" ht="15" hidden="false" customHeight="true" outlineLevel="0" collapsed="false">
      <c r="A10" s="15" t="n">
        <v>6</v>
      </c>
      <c r="B10" s="15" t="n">
        <f aca="false">COUNTIF(Sheet1!$G$5:$L$1244,A10)</f>
        <v>166</v>
      </c>
      <c r="C10" s="15" t="n">
        <f aca="false">RANK(B10,$B$5:$B$49,0)</f>
        <v>24</v>
      </c>
      <c r="D10" s="15" t="n">
        <f aca="false">RANK(B10,$B$5:$B$49,1)</f>
        <v>21</v>
      </c>
      <c r="F10" s="15" t="n">
        <v>6</v>
      </c>
      <c r="G10" s="15" t="n">
        <f aca="false">INDEX($A$5:$A$49,MATCH(LARGE($N$5:$N$49,F10),$N$5:$N$49,0))</f>
        <v>33</v>
      </c>
      <c r="H10" s="15" t="n">
        <f aca="false">INDEX($B$5:$B$49,MATCH(LARGE($N$5:$N$49,F10),$N$5:$N$49,0))</f>
        <v>175</v>
      </c>
      <c r="J10" s="15" t="n">
        <v>6</v>
      </c>
      <c r="K10" s="15" t="n">
        <f aca="false">INDEX($A$5:$A$49,MATCH(SMALL($O$5:$O$49,J10),$O$5:$O$49,0))</f>
        <v>5</v>
      </c>
      <c r="L10" s="15" t="n">
        <f aca="false">INDEX($B$5:$B$49,MATCH(SMALL($O$5:$O$49,J10),$O$5:$O$49,0))</f>
        <v>153</v>
      </c>
      <c r="N10" s="15" t="n">
        <f aca="false">B10*100-A10</f>
        <v>16594</v>
      </c>
      <c r="O10" s="15" t="n">
        <f aca="false">B10*100+A10</f>
        <v>16606</v>
      </c>
    </row>
    <row r="11" customFormat="false" ht="15" hidden="false" customHeight="true" outlineLevel="0" collapsed="false">
      <c r="A11" s="15" t="n">
        <v>7</v>
      </c>
      <c r="B11" s="15" t="n">
        <f aca="false">COUNTIF(Sheet1!$G$5:$L$1244,A11)</f>
        <v>170</v>
      </c>
      <c r="C11" s="15" t="n">
        <f aca="false">RANK(B11,$B$5:$B$49,0)</f>
        <v>16</v>
      </c>
      <c r="D11" s="15" t="n">
        <f aca="false">RANK(B11,$B$5:$B$49,1)</f>
        <v>27</v>
      </c>
      <c r="F11" s="15" t="n">
        <v>7</v>
      </c>
      <c r="G11" s="15" t="n">
        <f aca="false">INDEX($A$5:$A$49,MATCH(LARGE($N$5:$N$49,F11),$N$5:$N$49,0))</f>
        <v>45</v>
      </c>
      <c r="H11" s="15" t="n">
        <f aca="false">INDEX($B$5:$B$49,MATCH(LARGE($N$5:$N$49,F11),$N$5:$N$49,0))</f>
        <v>175</v>
      </c>
      <c r="J11" s="15" t="n">
        <v>7</v>
      </c>
      <c r="K11" s="15" t="n">
        <f aca="false">INDEX($A$5:$A$49,MATCH(SMALL($O$5:$O$49,J11),$O$5:$O$49,0))</f>
        <v>25</v>
      </c>
      <c r="L11" s="15" t="n">
        <f aca="false">INDEX($B$5:$B$49,MATCH(SMALL($O$5:$O$49,J11),$O$5:$O$49,0))</f>
        <v>153</v>
      </c>
      <c r="N11" s="15" t="n">
        <f aca="false">B11*100-A11</f>
        <v>16993</v>
      </c>
      <c r="O11" s="15" t="n">
        <f aca="false">B11*100+A11</f>
        <v>17007</v>
      </c>
    </row>
    <row r="12" customFormat="false" ht="15" hidden="false" customHeight="true" outlineLevel="0" collapsed="false">
      <c r="A12" s="15" t="n">
        <v>8</v>
      </c>
      <c r="B12" s="15" t="n">
        <f aca="false">COUNTIF(Sheet1!$G$5:$L$1244,A12)</f>
        <v>158</v>
      </c>
      <c r="C12" s="15" t="n">
        <f aca="false">RANK(B12,$B$5:$B$49,0)</f>
        <v>33</v>
      </c>
      <c r="D12" s="15" t="n">
        <f aca="false">RANK(B12,$B$5:$B$49,1)</f>
        <v>11</v>
      </c>
      <c r="F12" s="15" t="n">
        <v>8</v>
      </c>
      <c r="G12" s="15" t="n">
        <f aca="false">INDEX($A$5:$A$49,MATCH(LARGE($N$5:$N$49,F12),$N$5:$N$49,0))</f>
        <v>37</v>
      </c>
      <c r="H12" s="15" t="n">
        <f aca="false">INDEX($B$5:$B$49,MATCH(LARGE($N$5:$N$49,F12),$N$5:$N$49,0))</f>
        <v>174</v>
      </c>
      <c r="J12" s="15" t="n">
        <v>8</v>
      </c>
      <c r="K12" s="15" t="n">
        <f aca="false">INDEX($A$5:$A$49,MATCH(SMALL($O$5:$O$49,J12),$O$5:$O$49,0))</f>
        <v>2</v>
      </c>
      <c r="L12" s="15" t="n">
        <f aca="false">INDEX($B$5:$B$49,MATCH(SMALL($O$5:$O$49,J12),$O$5:$O$49,0))</f>
        <v>156</v>
      </c>
      <c r="N12" s="15" t="n">
        <f aca="false">B12*100-A12</f>
        <v>15792</v>
      </c>
      <c r="O12" s="15" t="n">
        <f aca="false">B12*100+A12</f>
        <v>15808</v>
      </c>
    </row>
    <row r="13" customFormat="false" ht="15" hidden="false" customHeight="true" outlineLevel="0" collapsed="false">
      <c r="A13" s="15" t="n">
        <v>9</v>
      </c>
      <c r="B13" s="15" t="n">
        <f aca="false">COUNTIF(Sheet1!$G$5:$L$1244,A13)</f>
        <v>136</v>
      </c>
      <c r="C13" s="15" t="n">
        <f aca="false">RANK(B13,$B$5:$B$49,0)</f>
        <v>45</v>
      </c>
      <c r="D13" s="15" t="n">
        <f aca="false">RANK(B13,$B$5:$B$49,1)</f>
        <v>1</v>
      </c>
      <c r="F13" s="15" t="n">
        <v>9</v>
      </c>
      <c r="G13" s="15" t="n">
        <f aca="false">INDEX($A$5:$A$49,MATCH(LARGE($N$5:$N$49,F13),$N$5:$N$49,0))</f>
        <v>40</v>
      </c>
      <c r="H13" s="15" t="n">
        <f aca="false">INDEX($B$5:$B$49,MATCH(LARGE($N$5:$N$49,F13),$N$5:$N$49,0))</f>
        <v>174</v>
      </c>
      <c r="J13" s="15" t="n">
        <v>9</v>
      </c>
      <c r="K13" s="15" t="n">
        <f aca="false">INDEX($A$5:$A$49,MATCH(SMALL($O$5:$O$49,J13),$O$5:$O$49,0))</f>
        <v>29</v>
      </c>
      <c r="L13" s="15" t="n">
        <f aca="false">INDEX($B$5:$B$49,MATCH(SMALL($O$5:$O$49,J13),$O$5:$O$49,0))</f>
        <v>156</v>
      </c>
      <c r="N13" s="15" t="n">
        <f aca="false">B13*100-A13</f>
        <v>13591</v>
      </c>
      <c r="O13" s="15" t="n">
        <f aca="false">B13*100+A13</f>
        <v>13609</v>
      </c>
    </row>
    <row r="14" customFormat="false" ht="15" hidden="false" customHeight="true" outlineLevel="0" collapsed="false">
      <c r="A14" s="15" t="n">
        <v>10</v>
      </c>
      <c r="B14" s="15" t="n">
        <f aca="false">COUNTIF(Sheet1!$G$5:$L$1244,A14)</f>
        <v>162</v>
      </c>
      <c r="C14" s="15" t="n">
        <f aca="false">RANK(B14,$B$5:$B$49,0)</f>
        <v>31</v>
      </c>
      <c r="D14" s="15" t="n">
        <f aca="false">RANK(B14,$B$5:$B$49,1)</f>
        <v>14</v>
      </c>
      <c r="F14" s="15" t="n">
        <v>10</v>
      </c>
      <c r="G14" s="15" t="n">
        <f aca="false">INDEX($A$5:$A$49,MATCH(LARGE($N$5:$N$49,F14),$N$5:$N$49,0))</f>
        <v>3</v>
      </c>
      <c r="H14" s="15" t="n">
        <f aca="false">INDEX($B$5:$B$49,MATCH(LARGE($N$5:$N$49,F14),$N$5:$N$49,0))</f>
        <v>172</v>
      </c>
      <c r="J14" s="15" t="n">
        <v>10</v>
      </c>
      <c r="K14" s="15" t="n">
        <f aca="false">INDEX($A$5:$A$49,MATCH(SMALL($O$5:$O$49,J14),$O$5:$O$49,0))</f>
        <v>28</v>
      </c>
      <c r="L14" s="15" t="n">
        <f aca="false">INDEX($B$5:$B$49,MATCH(SMALL($O$5:$O$49,J14),$O$5:$O$49,0))</f>
        <v>157</v>
      </c>
      <c r="N14" s="15" t="n">
        <f aca="false">B14*100-A14</f>
        <v>16190</v>
      </c>
      <c r="O14" s="15" t="n">
        <f aca="false">B14*100+A14</f>
        <v>16210</v>
      </c>
    </row>
    <row r="15" customFormat="false" ht="15" hidden="false" customHeight="true" outlineLevel="0" collapsed="false">
      <c r="A15" s="15" t="n">
        <v>11</v>
      </c>
      <c r="B15" s="15" t="n">
        <f aca="false">COUNTIF(Sheet1!$G$5:$L$1244,A15)</f>
        <v>168</v>
      </c>
      <c r="C15" s="15" t="n">
        <f aca="false">RANK(B15,$B$5:$B$49,0)</f>
        <v>20</v>
      </c>
      <c r="D15" s="15" t="n">
        <f aca="false">RANK(B15,$B$5:$B$49,1)</f>
        <v>24</v>
      </c>
      <c r="N15" s="15" t="n">
        <f aca="false">B15*100-A15</f>
        <v>16789</v>
      </c>
      <c r="O15" s="15" t="n">
        <f aca="false">B15*100+A15</f>
        <v>16811</v>
      </c>
    </row>
    <row r="16" customFormat="false" ht="15" hidden="false" customHeight="true" outlineLevel="0" collapsed="false">
      <c r="A16" s="15" t="n">
        <v>12</v>
      </c>
      <c r="B16" s="15" t="n">
        <f aca="false">COUNTIF(Sheet1!$G$5:$L$1244,A16)</f>
        <v>180</v>
      </c>
      <c r="C16" s="15" t="n">
        <f aca="false">RANK(B16,$B$5:$B$49,0)</f>
        <v>4</v>
      </c>
      <c r="D16" s="15" t="n">
        <f aca="false">RANK(B16,$B$5:$B$49,1)</f>
        <v>42</v>
      </c>
      <c r="N16" s="15" t="n">
        <f aca="false">B16*100-A16</f>
        <v>17988</v>
      </c>
      <c r="O16" s="15" t="n">
        <f aca="false">B16*100+A16</f>
        <v>18012</v>
      </c>
    </row>
    <row r="17" customFormat="false" ht="15" hidden="false" customHeight="true" outlineLevel="0" collapsed="false">
      <c r="A17" s="15" t="n">
        <v>13</v>
      </c>
      <c r="B17" s="15" t="n">
        <f aca="false">COUNTIF(Sheet1!$G$5:$L$1244,A17)</f>
        <v>182</v>
      </c>
      <c r="C17" s="15" t="n">
        <f aca="false">RANK(B17,$B$5:$B$49,0)</f>
        <v>2</v>
      </c>
      <c r="D17" s="15" t="n">
        <f aca="false">RANK(B17,$B$5:$B$49,1)</f>
        <v>44</v>
      </c>
      <c r="N17" s="15" t="n">
        <f aca="false">B17*100-A17</f>
        <v>18187</v>
      </c>
      <c r="O17" s="15" t="n">
        <f aca="false">B17*100+A17</f>
        <v>18213</v>
      </c>
    </row>
    <row r="18" customFormat="false" ht="15" hidden="false" customHeight="true" outlineLevel="0" collapsed="false">
      <c r="A18" s="15" t="n">
        <v>14</v>
      </c>
      <c r="B18" s="15" t="n">
        <f aca="false">COUNTIF(Sheet1!$G$5:$L$1244,A18)</f>
        <v>172</v>
      </c>
      <c r="C18" s="15" t="n">
        <f aca="false">RANK(B18,$B$5:$B$49,0)</f>
        <v>10</v>
      </c>
      <c r="D18" s="15" t="n">
        <f aca="false">RANK(B18,$B$5:$B$49,1)</f>
        <v>33</v>
      </c>
      <c r="N18" s="15" t="n">
        <f aca="false">B18*100-A18</f>
        <v>17186</v>
      </c>
      <c r="O18" s="15" t="n">
        <f aca="false">B18*100+A18</f>
        <v>17214</v>
      </c>
    </row>
    <row r="19" customFormat="false" ht="15" hidden="false" customHeight="true" outlineLevel="0" collapsed="false">
      <c r="A19" s="15" t="n">
        <v>15</v>
      </c>
      <c r="B19" s="15" t="n">
        <f aca="false">COUNTIF(Sheet1!$G$5:$L$1244,A19)</f>
        <v>170</v>
      </c>
      <c r="C19" s="15" t="n">
        <f aca="false">RANK(B19,$B$5:$B$49,0)</f>
        <v>16</v>
      </c>
      <c r="D19" s="15" t="n">
        <f aca="false">RANK(B19,$B$5:$B$49,1)</f>
        <v>27</v>
      </c>
      <c r="N19" s="15" t="n">
        <f aca="false">B19*100-A19</f>
        <v>16985</v>
      </c>
      <c r="O19" s="15" t="n">
        <f aca="false">B19*100+A19</f>
        <v>17015</v>
      </c>
    </row>
    <row r="20" customFormat="false" ht="15" hidden="false" customHeight="true" outlineLevel="0" collapsed="false">
      <c r="A20" s="15" t="n">
        <v>16</v>
      </c>
      <c r="B20" s="15" t="n">
        <f aca="false">COUNTIF(Sheet1!$G$5:$L$1244,A20)</f>
        <v>168</v>
      </c>
      <c r="C20" s="15" t="n">
        <f aca="false">RANK(B20,$B$5:$B$49,0)</f>
        <v>20</v>
      </c>
      <c r="D20" s="15" t="n">
        <f aca="false">RANK(B20,$B$5:$B$49,1)</f>
        <v>24</v>
      </c>
      <c r="N20" s="15" t="n">
        <f aca="false">B20*100-A20</f>
        <v>16784</v>
      </c>
      <c r="O20" s="15" t="n">
        <f aca="false">B20*100+A20</f>
        <v>16816</v>
      </c>
    </row>
    <row r="21" customFormat="false" ht="15" hidden="false" customHeight="true" outlineLevel="0" collapsed="false">
      <c r="A21" s="15" t="n">
        <v>17</v>
      </c>
      <c r="B21" s="15" t="n">
        <f aca="false">COUNTIF(Sheet1!$G$5:$L$1244,A21)</f>
        <v>171</v>
      </c>
      <c r="C21" s="15" t="n">
        <f aca="false">RANK(B21,$B$5:$B$49,0)</f>
        <v>14</v>
      </c>
      <c r="D21" s="15" t="n">
        <f aca="false">RANK(B21,$B$5:$B$49,1)</f>
        <v>31</v>
      </c>
      <c r="N21" s="15" t="n">
        <f aca="false">B21*100-A21</f>
        <v>17083</v>
      </c>
      <c r="O21" s="15" t="n">
        <f aca="false">B21*100+A21</f>
        <v>17117</v>
      </c>
    </row>
    <row r="22" customFormat="false" ht="15" hidden="false" customHeight="true" outlineLevel="0" collapsed="false">
      <c r="A22" s="15" t="n">
        <v>18</v>
      </c>
      <c r="B22" s="15" t="n">
        <f aca="false">COUNTIF(Sheet1!$G$5:$L$1244,A22)</f>
        <v>178</v>
      </c>
      <c r="C22" s="15" t="n">
        <f aca="false">RANK(B22,$B$5:$B$49,0)</f>
        <v>5</v>
      </c>
      <c r="D22" s="15" t="n">
        <f aca="false">RANK(B22,$B$5:$B$49,1)</f>
        <v>41</v>
      </c>
      <c r="N22" s="15" t="n">
        <f aca="false">B22*100-A22</f>
        <v>17782</v>
      </c>
      <c r="O22" s="15" t="n">
        <f aca="false">B22*100+A22</f>
        <v>17818</v>
      </c>
    </row>
    <row r="23" customFormat="false" ht="15" hidden="false" customHeight="true" outlineLevel="0" collapsed="false">
      <c r="A23" s="15" t="n">
        <v>19</v>
      </c>
      <c r="B23" s="15" t="n">
        <f aca="false">COUNTIF(Sheet1!$G$5:$L$1244,A23)</f>
        <v>171</v>
      </c>
      <c r="C23" s="15" t="n">
        <f aca="false">RANK(B23,$B$5:$B$49,0)</f>
        <v>14</v>
      </c>
      <c r="D23" s="15" t="n">
        <f aca="false">RANK(B23,$B$5:$B$49,1)</f>
        <v>31</v>
      </c>
      <c r="N23" s="15" t="n">
        <f aca="false">B23*100-A23</f>
        <v>17081</v>
      </c>
      <c r="O23" s="15" t="n">
        <f aca="false">B23*100+A23</f>
        <v>17119</v>
      </c>
    </row>
    <row r="24" customFormat="false" ht="15" hidden="false" customHeight="true" outlineLevel="0" collapsed="false">
      <c r="A24" s="15" t="n">
        <v>20</v>
      </c>
      <c r="B24" s="15" t="n">
        <f aca="false">COUNTIF(Sheet1!$G$5:$L$1244,A24)</f>
        <v>172</v>
      </c>
      <c r="C24" s="15" t="n">
        <f aca="false">RANK(B24,$B$5:$B$49,0)</f>
        <v>10</v>
      </c>
      <c r="D24" s="15" t="n">
        <f aca="false">RANK(B24,$B$5:$B$49,1)</f>
        <v>33</v>
      </c>
      <c r="N24" s="15" t="n">
        <f aca="false">B24*100-A24</f>
        <v>17180</v>
      </c>
      <c r="O24" s="15" t="n">
        <f aca="false">B24*100+A24</f>
        <v>17220</v>
      </c>
    </row>
    <row r="25" customFormat="false" ht="15" hidden="false" customHeight="true" outlineLevel="0" collapsed="false">
      <c r="A25" s="15" t="n">
        <v>21</v>
      </c>
      <c r="B25" s="15" t="n">
        <f aca="false">COUNTIF(Sheet1!$G$5:$L$1244,A25)</f>
        <v>167</v>
      </c>
      <c r="C25" s="15" t="n">
        <f aca="false">RANK(B25,$B$5:$B$49,0)</f>
        <v>23</v>
      </c>
      <c r="D25" s="15" t="n">
        <f aca="false">RANK(B25,$B$5:$B$49,1)</f>
        <v>23</v>
      </c>
      <c r="N25" s="15" t="n">
        <f aca="false">B25*100-A25</f>
        <v>16679</v>
      </c>
      <c r="O25" s="15" t="n">
        <f aca="false">B25*100+A25</f>
        <v>16721</v>
      </c>
    </row>
    <row r="26" customFormat="false" ht="15" hidden="false" customHeight="true" outlineLevel="0" collapsed="false">
      <c r="A26" s="15" t="n">
        <v>22</v>
      </c>
      <c r="B26" s="15" t="n">
        <f aca="false">COUNTIF(Sheet1!$G$5:$L$1244,A26)</f>
        <v>146</v>
      </c>
      <c r="C26" s="15" t="n">
        <f aca="false">RANK(B26,$B$5:$B$49,0)</f>
        <v>43</v>
      </c>
      <c r="D26" s="15" t="n">
        <f aca="false">RANK(B26,$B$5:$B$49,1)</f>
        <v>2</v>
      </c>
      <c r="N26" s="15" t="n">
        <f aca="false">B26*100-A26</f>
        <v>14578</v>
      </c>
      <c r="O26" s="15" t="n">
        <f aca="false">B26*100+A26</f>
        <v>14622</v>
      </c>
    </row>
    <row r="27" customFormat="false" ht="15" hidden="false" customHeight="true" outlineLevel="0" collapsed="false">
      <c r="A27" s="15" t="n">
        <v>23</v>
      </c>
      <c r="B27" s="15" t="n">
        <f aca="false">COUNTIF(Sheet1!$G$5:$L$1244,A27)</f>
        <v>148</v>
      </c>
      <c r="C27" s="15" t="n">
        <f aca="false">RANK(B27,$B$5:$B$49,0)</f>
        <v>42</v>
      </c>
      <c r="D27" s="15" t="n">
        <f aca="false">RANK(B27,$B$5:$B$49,1)</f>
        <v>4</v>
      </c>
      <c r="N27" s="15" t="n">
        <f aca="false">B27*100-A27</f>
        <v>14777</v>
      </c>
      <c r="O27" s="15" t="n">
        <f aca="false">B27*100+A27</f>
        <v>14823</v>
      </c>
    </row>
    <row r="28" customFormat="false" ht="15" hidden="false" customHeight="true" outlineLevel="0" collapsed="false">
      <c r="A28" s="15" t="n">
        <v>24</v>
      </c>
      <c r="B28" s="15" t="n">
        <f aca="false">COUNTIF(Sheet1!$G$5:$L$1244,A28)</f>
        <v>166</v>
      </c>
      <c r="C28" s="15" t="n">
        <f aca="false">RANK(B28,$B$5:$B$49,0)</f>
        <v>24</v>
      </c>
      <c r="D28" s="15" t="n">
        <f aca="false">RANK(B28,$B$5:$B$49,1)</f>
        <v>21</v>
      </c>
      <c r="N28" s="15" t="n">
        <f aca="false">B28*100-A28</f>
        <v>16576</v>
      </c>
      <c r="O28" s="15" t="n">
        <f aca="false">B28*100+A28</f>
        <v>16624</v>
      </c>
    </row>
    <row r="29" customFormat="false" ht="15" hidden="false" customHeight="true" outlineLevel="0" collapsed="false">
      <c r="A29" s="15" t="n">
        <v>25</v>
      </c>
      <c r="B29" s="15" t="n">
        <f aca="false">COUNTIF(Sheet1!$G$5:$L$1244,A29)</f>
        <v>153</v>
      </c>
      <c r="C29" s="15" t="n">
        <f aca="false">RANK(B29,$B$5:$B$49,0)</f>
        <v>39</v>
      </c>
      <c r="D29" s="15" t="n">
        <f aca="false">RANK(B29,$B$5:$B$49,1)</f>
        <v>6</v>
      </c>
      <c r="N29" s="15" t="n">
        <f aca="false">B29*100-A29</f>
        <v>15275</v>
      </c>
      <c r="O29" s="15" t="n">
        <f aca="false">B29*100+A29</f>
        <v>15325</v>
      </c>
    </row>
    <row r="30" customFormat="false" ht="15" hidden="false" customHeight="true" outlineLevel="0" collapsed="false">
      <c r="A30" s="15" t="n">
        <v>26</v>
      </c>
      <c r="B30" s="15" t="n">
        <f aca="false">COUNTIF(Sheet1!$G$5:$L$1244,A30)</f>
        <v>165</v>
      </c>
      <c r="C30" s="15" t="n">
        <f aca="false">RANK(B30,$B$5:$B$49,0)</f>
        <v>26</v>
      </c>
      <c r="D30" s="15" t="n">
        <f aca="false">RANK(B30,$B$5:$B$49,1)</f>
        <v>17</v>
      </c>
      <c r="N30" s="15" t="n">
        <f aca="false">B30*100-A30</f>
        <v>16474</v>
      </c>
      <c r="O30" s="15" t="n">
        <f aca="false">B30*100+A30</f>
        <v>16526</v>
      </c>
    </row>
    <row r="31" customFormat="false" ht="15" hidden="false" customHeight="true" outlineLevel="0" collapsed="false">
      <c r="A31" s="15" t="n">
        <v>27</v>
      </c>
      <c r="B31" s="15" t="n">
        <f aca="false">COUNTIF(Sheet1!$G$5:$L$1244,A31)</f>
        <v>181</v>
      </c>
      <c r="C31" s="15" t="n">
        <f aca="false">RANK(B31,$B$5:$B$49,0)</f>
        <v>3</v>
      </c>
      <c r="D31" s="15" t="n">
        <f aca="false">RANK(B31,$B$5:$B$49,1)</f>
        <v>43</v>
      </c>
      <c r="N31" s="15" t="n">
        <f aca="false">B31*100-A31</f>
        <v>18073</v>
      </c>
      <c r="O31" s="15" t="n">
        <f aca="false">B31*100+A31</f>
        <v>18127</v>
      </c>
    </row>
    <row r="32" customFormat="false" ht="15" hidden="false" customHeight="true" outlineLevel="0" collapsed="false">
      <c r="A32" s="15" t="n">
        <v>28</v>
      </c>
      <c r="B32" s="15" t="n">
        <f aca="false">COUNTIF(Sheet1!$G$5:$L$1244,A32)</f>
        <v>157</v>
      </c>
      <c r="C32" s="15" t="n">
        <f aca="false">RANK(B32,$B$5:$B$49,0)</f>
        <v>36</v>
      </c>
      <c r="D32" s="15" t="n">
        <f aca="false">RANK(B32,$B$5:$B$49,1)</f>
        <v>10</v>
      </c>
      <c r="N32" s="15" t="n">
        <f aca="false">B32*100-A32</f>
        <v>15672</v>
      </c>
      <c r="O32" s="15" t="n">
        <f aca="false">B32*100+A32</f>
        <v>15728</v>
      </c>
    </row>
    <row r="33" customFormat="false" ht="15" hidden="false" customHeight="true" outlineLevel="0" collapsed="false">
      <c r="A33" s="15" t="n">
        <v>29</v>
      </c>
      <c r="B33" s="15" t="n">
        <f aca="false">COUNTIF(Sheet1!$G$5:$L$1244,A33)</f>
        <v>156</v>
      </c>
      <c r="C33" s="15" t="n">
        <f aca="false">RANK(B33,$B$5:$B$49,0)</f>
        <v>37</v>
      </c>
      <c r="D33" s="15" t="n">
        <f aca="false">RANK(B33,$B$5:$B$49,1)</f>
        <v>8</v>
      </c>
      <c r="N33" s="15" t="n">
        <f aca="false">B33*100-A33</f>
        <v>15571</v>
      </c>
      <c r="O33" s="15" t="n">
        <f aca="false">B33*100+A33</f>
        <v>15629</v>
      </c>
    </row>
    <row r="34" customFormat="false" ht="15" hidden="false" customHeight="true" outlineLevel="0" collapsed="false">
      <c r="A34" s="15" t="n">
        <v>30</v>
      </c>
      <c r="B34" s="15" t="n">
        <f aca="false">COUNTIF(Sheet1!$G$5:$L$1244,A34)</f>
        <v>158</v>
      </c>
      <c r="C34" s="15" t="n">
        <f aca="false">RANK(B34,$B$5:$B$49,0)</f>
        <v>33</v>
      </c>
      <c r="D34" s="15" t="n">
        <f aca="false">RANK(B34,$B$5:$B$49,1)</f>
        <v>11</v>
      </c>
      <c r="N34" s="15" t="n">
        <f aca="false">B34*100-A34</f>
        <v>15770</v>
      </c>
      <c r="O34" s="15" t="n">
        <f aca="false">B34*100+A34</f>
        <v>15830</v>
      </c>
    </row>
    <row r="35" customFormat="false" ht="15" hidden="false" customHeight="true" outlineLevel="0" collapsed="false">
      <c r="A35" s="15" t="n">
        <v>31</v>
      </c>
      <c r="B35" s="15" t="n">
        <f aca="false">COUNTIF(Sheet1!$G$5:$L$1244,A35)</f>
        <v>170</v>
      </c>
      <c r="C35" s="15" t="n">
        <f aca="false">RANK(B35,$B$5:$B$49,0)</f>
        <v>16</v>
      </c>
      <c r="D35" s="15" t="n">
        <f aca="false">RANK(B35,$B$5:$B$49,1)</f>
        <v>27</v>
      </c>
      <c r="N35" s="15" t="n">
        <f aca="false">B35*100-A35</f>
        <v>16969</v>
      </c>
      <c r="O35" s="15" t="n">
        <f aca="false">B35*100+A35</f>
        <v>17031</v>
      </c>
    </row>
    <row r="36" customFormat="false" ht="15" hidden="false" customHeight="true" outlineLevel="0" collapsed="false">
      <c r="A36" s="15" t="n">
        <v>32</v>
      </c>
      <c r="B36" s="15" t="n">
        <f aca="false">COUNTIF(Sheet1!$G$5:$L$1244,A36)</f>
        <v>146</v>
      </c>
      <c r="C36" s="15" t="n">
        <f aca="false">RANK(B36,$B$5:$B$49,0)</f>
        <v>43</v>
      </c>
      <c r="D36" s="15" t="n">
        <f aca="false">RANK(B36,$B$5:$B$49,1)</f>
        <v>2</v>
      </c>
      <c r="N36" s="15" t="n">
        <f aca="false">B36*100-A36</f>
        <v>14568</v>
      </c>
      <c r="O36" s="15" t="n">
        <f aca="false">B36*100+A36</f>
        <v>14632</v>
      </c>
    </row>
    <row r="37" customFormat="false" ht="15" hidden="false" customHeight="true" outlineLevel="0" collapsed="false">
      <c r="A37" s="15" t="n">
        <v>33</v>
      </c>
      <c r="B37" s="15" t="n">
        <f aca="false">COUNTIF(Sheet1!$G$5:$L$1244,A37)</f>
        <v>175</v>
      </c>
      <c r="C37" s="15" t="n">
        <f aca="false">RANK(B37,$B$5:$B$49,0)</f>
        <v>6</v>
      </c>
      <c r="D37" s="15" t="n">
        <f aca="false">RANK(B37,$B$5:$B$49,1)</f>
        <v>39</v>
      </c>
      <c r="N37" s="15" t="n">
        <f aca="false">B37*100-A37</f>
        <v>17467</v>
      </c>
      <c r="O37" s="15" t="n">
        <f aca="false">B37*100+A37</f>
        <v>17533</v>
      </c>
    </row>
    <row r="38" customFormat="false" ht="15" hidden="false" customHeight="true" outlineLevel="0" collapsed="false">
      <c r="A38" s="15" t="n">
        <v>34</v>
      </c>
      <c r="B38" s="15" t="n">
        <f aca="false">COUNTIF(Sheet1!$G$5:$L$1244,A38)</f>
        <v>186</v>
      </c>
      <c r="C38" s="15" t="n">
        <f aca="false">RANK(B38,$B$5:$B$49,0)</f>
        <v>1</v>
      </c>
      <c r="D38" s="15" t="n">
        <f aca="false">RANK(B38,$B$5:$B$49,1)</f>
        <v>45</v>
      </c>
      <c r="N38" s="15" t="n">
        <f aca="false">B38*100-A38</f>
        <v>18566</v>
      </c>
      <c r="O38" s="15" t="n">
        <f aca="false">B38*100+A38</f>
        <v>18634</v>
      </c>
    </row>
    <row r="39" customFormat="false" ht="15" hidden="false" customHeight="true" outlineLevel="0" collapsed="false">
      <c r="A39" s="15" t="n">
        <v>35</v>
      </c>
      <c r="B39" s="15" t="n">
        <f aca="false">COUNTIF(Sheet1!$G$5:$L$1244,A39)</f>
        <v>163</v>
      </c>
      <c r="C39" s="15" t="n">
        <f aca="false">RANK(B39,$B$5:$B$49,0)</f>
        <v>30</v>
      </c>
      <c r="D39" s="15" t="n">
        <f aca="false">RANK(B39,$B$5:$B$49,1)</f>
        <v>16</v>
      </c>
      <c r="N39" s="15" t="n">
        <f aca="false">B39*100-A39</f>
        <v>16265</v>
      </c>
      <c r="O39" s="15" t="n">
        <f aca="false">B39*100+A39</f>
        <v>16335</v>
      </c>
    </row>
    <row r="40" customFormat="false" ht="15" hidden="false" customHeight="true" outlineLevel="0" collapsed="false">
      <c r="A40" s="15" t="n">
        <v>36</v>
      </c>
      <c r="B40" s="15" t="n">
        <f aca="false">COUNTIF(Sheet1!$G$5:$L$1244,A40)</f>
        <v>165</v>
      </c>
      <c r="C40" s="15" t="n">
        <f aca="false">RANK(B40,$B$5:$B$49,0)</f>
        <v>26</v>
      </c>
      <c r="D40" s="15" t="n">
        <f aca="false">RANK(B40,$B$5:$B$49,1)</f>
        <v>17</v>
      </c>
      <c r="N40" s="15" t="n">
        <f aca="false">B40*100-A40</f>
        <v>16464</v>
      </c>
      <c r="O40" s="15" t="n">
        <f aca="false">B40*100+A40</f>
        <v>16536</v>
      </c>
    </row>
    <row r="41" customFormat="false" ht="15" hidden="false" customHeight="true" outlineLevel="0" collapsed="false">
      <c r="A41" s="15" t="n">
        <v>37</v>
      </c>
      <c r="B41" s="15" t="n">
        <f aca="false">COUNTIF(Sheet1!$G$5:$L$1244,A41)</f>
        <v>174</v>
      </c>
      <c r="C41" s="15" t="n">
        <f aca="false">RANK(B41,$B$5:$B$49,0)</f>
        <v>8</v>
      </c>
      <c r="D41" s="15" t="n">
        <f aca="false">RANK(B41,$B$5:$B$49,1)</f>
        <v>37</v>
      </c>
      <c r="N41" s="15" t="n">
        <f aca="false">B41*100-A41</f>
        <v>17363</v>
      </c>
      <c r="O41" s="15" t="n">
        <f aca="false">B41*100+A41</f>
        <v>17437</v>
      </c>
    </row>
    <row r="42" customFormat="false" ht="15" hidden="false" customHeight="true" outlineLevel="0" collapsed="false">
      <c r="A42" s="15" t="n">
        <v>38</v>
      </c>
      <c r="B42" s="15" t="n">
        <f aca="false">COUNTIF(Sheet1!$G$5:$L$1244,A42)</f>
        <v>172</v>
      </c>
      <c r="C42" s="15" t="n">
        <f aca="false">RANK(B42,$B$5:$B$49,0)</f>
        <v>10</v>
      </c>
      <c r="D42" s="15" t="n">
        <f aca="false">RANK(B42,$B$5:$B$49,1)</f>
        <v>33</v>
      </c>
      <c r="N42" s="15" t="n">
        <f aca="false">B42*100-A42</f>
        <v>17162</v>
      </c>
      <c r="O42" s="15" t="n">
        <f aca="false">B42*100+A42</f>
        <v>17238</v>
      </c>
    </row>
    <row r="43" customFormat="false" ht="15" hidden="false" customHeight="true" outlineLevel="0" collapsed="false">
      <c r="A43" s="15" t="n">
        <v>39</v>
      </c>
      <c r="B43" s="15" t="n">
        <f aca="false">COUNTIF(Sheet1!$G$5:$L$1244,A43)</f>
        <v>168</v>
      </c>
      <c r="C43" s="15" t="n">
        <f aca="false">RANK(B43,$B$5:$B$49,0)</f>
        <v>20</v>
      </c>
      <c r="D43" s="15" t="n">
        <f aca="false">RANK(B43,$B$5:$B$49,1)</f>
        <v>24</v>
      </c>
      <c r="N43" s="15" t="n">
        <f aca="false">B43*100-A43</f>
        <v>16761</v>
      </c>
      <c r="O43" s="15" t="n">
        <f aca="false">B43*100+A43</f>
        <v>16839</v>
      </c>
    </row>
    <row r="44" customFormat="false" ht="15" hidden="false" customHeight="true" outlineLevel="0" collapsed="false">
      <c r="A44" s="15" t="n">
        <v>40</v>
      </c>
      <c r="B44" s="15" t="n">
        <f aca="false">COUNTIF(Sheet1!$G$5:$L$1244,A44)</f>
        <v>174</v>
      </c>
      <c r="C44" s="15" t="n">
        <f aca="false">RANK(B44,$B$5:$B$49,0)</f>
        <v>8</v>
      </c>
      <c r="D44" s="15" t="n">
        <f aca="false">RANK(B44,$B$5:$B$49,1)</f>
        <v>37</v>
      </c>
      <c r="N44" s="15" t="n">
        <f aca="false">B44*100-A44</f>
        <v>17360</v>
      </c>
      <c r="O44" s="15" t="n">
        <f aca="false">B44*100+A44</f>
        <v>17440</v>
      </c>
    </row>
    <row r="45" customFormat="false" ht="15" hidden="false" customHeight="true" outlineLevel="0" collapsed="false">
      <c r="A45" s="15" t="n">
        <v>41</v>
      </c>
      <c r="B45" s="15" t="n">
        <f aca="false">COUNTIF(Sheet1!$G$5:$L$1244,A45)</f>
        <v>150</v>
      </c>
      <c r="C45" s="15" t="n">
        <f aca="false">RANK(B45,$B$5:$B$49,0)</f>
        <v>41</v>
      </c>
      <c r="D45" s="15" t="n">
        <f aca="false">RANK(B45,$B$5:$B$49,1)</f>
        <v>5</v>
      </c>
      <c r="N45" s="15" t="n">
        <f aca="false">B45*100-A45</f>
        <v>14959</v>
      </c>
      <c r="O45" s="15" t="n">
        <f aca="false">B45*100+A45</f>
        <v>15041</v>
      </c>
    </row>
    <row r="46" customFormat="false" ht="15" hidden="false" customHeight="true" outlineLevel="0" collapsed="false">
      <c r="A46" s="15" t="n">
        <v>42</v>
      </c>
      <c r="B46" s="15" t="n">
        <f aca="false">COUNTIF(Sheet1!$G$5:$L$1244,A46)</f>
        <v>158</v>
      </c>
      <c r="C46" s="15" t="n">
        <f aca="false">RANK(B46,$B$5:$B$49,0)</f>
        <v>33</v>
      </c>
      <c r="D46" s="15" t="n">
        <f aca="false">RANK(B46,$B$5:$B$49,1)</f>
        <v>11</v>
      </c>
      <c r="N46" s="15" t="n">
        <f aca="false">B46*100-A46</f>
        <v>15758</v>
      </c>
      <c r="O46" s="15" t="n">
        <f aca="false">B46*100+A46</f>
        <v>15842</v>
      </c>
    </row>
    <row r="47" customFormat="false" ht="15" hidden="false" customHeight="true" outlineLevel="0" collapsed="false">
      <c r="A47" s="15" t="n">
        <v>43</v>
      </c>
      <c r="B47" s="15" t="n">
        <f aca="false">COUNTIF(Sheet1!$G$5:$L$1244,A47)</f>
        <v>165</v>
      </c>
      <c r="C47" s="15" t="n">
        <f aca="false">RANK(B47,$B$5:$B$49,0)</f>
        <v>26</v>
      </c>
      <c r="D47" s="15" t="n">
        <f aca="false">RANK(B47,$B$5:$B$49,1)</f>
        <v>17</v>
      </c>
      <c r="N47" s="15" t="n">
        <f aca="false">B47*100-A47</f>
        <v>16457</v>
      </c>
      <c r="O47" s="15" t="n">
        <f aca="false">B47*100+A47</f>
        <v>16543</v>
      </c>
    </row>
    <row r="48" customFormat="false" ht="15" hidden="false" customHeight="true" outlineLevel="0" collapsed="false">
      <c r="A48" s="15" t="n">
        <v>44</v>
      </c>
      <c r="B48" s="15" t="n">
        <f aca="false">COUNTIF(Sheet1!$G$5:$L$1244,A48)</f>
        <v>165</v>
      </c>
      <c r="C48" s="15" t="n">
        <f aca="false">RANK(B48,$B$5:$B$49,0)</f>
        <v>26</v>
      </c>
      <c r="D48" s="15" t="n">
        <f aca="false">RANK(B48,$B$5:$B$49,1)</f>
        <v>17</v>
      </c>
      <c r="N48" s="15" t="n">
        <f aca="false">B48*100-A48</f>
        <v>16456</v>
      </c>
      <c r="O48" s="15" t="n">
        <f aca="false">B48*100+A48</f>
        <v>16544</v>
      </c>
    </row>
    <row r="49" customFormat="false" ht="15" hidden="false" customHeight="true" outlineLevel="0" collapsed="false">
      <c r="A49" s="15" t="n">
        <v>45</v>
      </c>
      <c r="B49" s="15" t="n">
        <f aca="false">COUNTIF(Sheet1!$G$5:$L$1244,A49)</f>
        <v>175</v>
      </c>
      <c r="C49" s="15" t="n">
        <f aca="false">RANK(B49,$B$5:$B$49,0)</f>
        <v>6</v>
      </c>
      <c r="D49" s="15" t="n">
        <f aca="false">RANK(B49,$B$5:$B$49,1)</f>
        <v>39</v>
      </c>
      <c r="N49" s="15" t="n">
        <f aca="false">B49*100-A49</f>
        <v>17455</v>
      </c>
      <c r="O49" s="15" t="n">
        <f aca="false">B49*100+A49</f>
        <v>17545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6.5" zeroHeight="false" outlineLevelRow="0" outlineLevelCol="0"/>
  <cols>
    <col collapsed="false" customWidth="true" hidden="false" outlineLevel="0" max="2" min="1" style="2" width="10"/>
    <col collapsed="false" customWidth="true" hidden="false" outlineLevel="0" max="3" min="3" style="2" width="4"/>
    <col collapsed="false" customWidth="true" hidden="false" outlineLevel="0" max="4" min="4" style="2" width="18"/>
    <col collapsed="false" customWidth="true" hidden="false" outlineLevel="0" max="5" min="5" style="2" width="40"/>
  </cols>
  <sheetData>
    <row r="1" customFormat="false" ht="21" hidden="false" customHeight="true" outlineLevel="0" collapsed="false">
      <c r="A1" s="23" t="s">
        <v>16</v>
      </c>
    </row>
    <row r="3" customFormat="false" ht="15" hidden="false" customHeight="true" outlineLevel="0" collapsed="false">
      <c r="A3" s="26" t="s">
        <v>17</v>
      </c>
    </row>
    <row r="4" customFormat="false" ht="15" hidden="false" customHeight="true" outlineLevel="0" collapsed="false">
      <c r="A4" s="14" t="s">
        <v>18</v>
      </c>
      <c r="B4" s="27"/>
      <c r="D4" s="14" t="s">
        <v>19</v>
      </c>
      <c r="E4" s="15" t="str">
        <f aca="false">IF(COUNT(B4:B9)&lt;6,"6개를 모두 입력하세요",IF(COUNTIF(Sheet1!$N$5:$N$1244,6)&gt;0,"⚠ 과거에 나온 적 있는 조합입니다","✅ 지금까지 나온 적 없는 조합입니다"))</f>
        <v>6개를 모두 입력하세요</v>
      </c>
    </row>
    <row r="5" customFormat="false" ht="15" hidden="false" customHeight="true" outlineLevel="0" collapsed="false">
      <c r="A5" s="14" t="s">
        <v>20</v>
      </c>
      <c r="B5" s="27"/>
      <c r="D5" s="14" t="s">
        <v>21</v>
      </c>
      <c r="E5" s="15" t="n">
        <f aca="false">COUNTIF(Sheet1!$N$5:$N$1244,6)</f>
        <v>0</v>
      </c>
    </row>
    <row r="6" customFormat="false" ht="15" hidden="false" customHeight="true" outlineLevel="0" collapsed="false">
      <c r="A6" s="14" t="s">
        <v>22</v>
      </c>
      <c r="B6" s="27"/>
      <c r="D6" s="14" t="s">
        <v>23</v>
      </c>
      <c r="E6" s="15" t="str">
        <f aca="false">IFERROR(INDEX(Sheet1!$F$5:$F$1244,MATCH(6,Sheet1!$N$5:$N$1244,0)),"-")</f>
        <v>-</v>
      </c>
    </row>
    <row r="7" customFormat="false" ht="15" hidden="false" customHeight="true" outlineLevel="0" collapsed="false">
      <c r="A7" s="14" t="s">
        <v>24</v>
      </c>
      <c r="B7" s="27"/>
      <c r="D7" s="14" t="s">
        <v>25</v>
      </c>
      <c r="E7" s="28" t="str">
        <f aca="false">IFERROR(INDEX(Sheet1!$E$5:$E$1244,MATCH(6,Sheet1!$N$5:$N$1244,0)),"-")</f>
        <v>-</v>
      </c>
    </row>
    <row r="8" customFormat="false" ht="15" hidden="false" customHeight="true" outlineLevel="0" collapsed="false">
      <c r="A8" s="14" t="s">
        <v>26</v>
      </c>
      <c r="B8" s="27"/>
    </row>
    <row r="9" customFormat="false" ht="15" hidden="false" customHeight="true" outlineLevel="0" collapsed="false">
      <c r="A9" s="14" t="s">
        <v>27</v>
      </c>
      <c r="B9" s="27"/>
    </row>
    <row r="11" customFormat="false" ht="15" hidden="false" customHeight="true" outlineLevel="0" collapsed="false">
      <c r="A11" s="2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2026-08-13T06:07:06Z</dcterms:created>
  <dc:creator>동규 신</dc:creator>
  <dc:description/>
  <dc:language>en-US</dc:language>
  <cp:lastModifiedBy>동규 신</cp:lastModifiedBy>
  <dcterms:modified xsi:type="dcterms:W3CDTF">2026-09-07T01:37:03Z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